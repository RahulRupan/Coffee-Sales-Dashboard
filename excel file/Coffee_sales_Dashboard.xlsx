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Projects\Coffee Sales\"/>
    </mc:Choice>
  </mc:AlternateContent>
  <xr:revisionPtr revIDLastSave="0" documentId="13_ncr:1_{BFAA2796-ECFA-48BB-8A55-FB8DE302BCC6}" xr6:coauthVersionLast="47" xr6:coauthVersionMax="47" xr10:uidLastSave="{00000000-0000-0000-0000-000000000000}"/>
  <bookViews>
    <workbookView xWindow="-120" yWindow="-120" windowWidth="29040" windowHeight="15840" activeTab="6" xr2:uid="{00000000-000D-0000-FFFF-FFFF00000000}"/>
  </bookViews>
  <sheets>
    <sheet name="Total Sales" sheetId="18" r:id="rId1"/>
    <sheet name="CountryBarChart" sheetId="19" r:id="rId2"/>
    <sheet name="Top5 Customers" sheetId="20" r:id="rId3"/>
    <sheet name="orders" sheetId="17" r:id="rId4"/>
    <sheet name="customers" sheetId="13" r:id="rId5"/>
    <sheet name="products" sheetId="2" r:id="rId6"/>
    <sheet name="DashBoard" sheetId="21"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7" i="17"/>
  <c r="M48"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<sst xmlns="http://schemas.openxmlformats.org/spreadsheetml/2006/main" count="11128" uniqueCount="6221">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</sst>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0.0"/>
    <numFmt numFmtId="165" formatCode="dd/mmm/yyyy"/>
    <numFmt numFmtId="166" formatCode="0.0\ &quot;kg&quot;"/>
    <numFmt numFmtId="167" formatCode="_ [$₹-4009]\ * #,##0.00_ ;_ [$₹-4009]\ * \-#,##0.00_ ;_ [$₹-4009]\ * &quot;-&quot;??_ ;_ @_ "/>
    <numFmt numFmtId="168" formatCode="#,##0_ ;\-#,##0\ "/>
    <numFmt numFmtId="172" formatCode="_-[$$-409]* #,##0.00_ ;_-[$$-409]* \-#,##0.00\ ;_-[$$-409]* &quot;-&quot;??_ ;_-@_ "/>
  </numFmts>
  <fonts count="4" x14ac:knownFonts="1">
    <font>
      <sz val="11"/>
      <color theme="1"/>
      <name val="Calibri"/>
      <family val="2"/>
      <scheme val="minor"/>
    </font>
    <font>
      <sz val="11"/>
      <color indexed="8"/>
      <name val="Calibri"/>
      <family val="2"/>
    </font>
    <font>
      <sz val="11"/>
      <color theme="0"/>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3"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168" fontId="0" fillId="0" borderId="0" xfId="0" applyNumberFormat="1"/>
    <xf numFmtId="0" fontId="2" fillId="0" borderId="0" xfId="0" applyFont="1"/>
    <xf numFmtId="172" fontId="0" fillId="0" borderId="0" xfId="1" applyNumberFormat="1" applyFont="1"/>
    <xf numFmtId="172" fontId="0" fillId="0" borderId="0" xfId="0" applyNumberFormat="1"/>
  </cellXfs>
  <cellStyles count="2">
    <cellStyle name="Currency" xfId="1" builtinId="4"/>
    <cellStyle name="Normal" xfId="0" builtinId="0"/>
  </cellStyles>
  <dxfs count="58">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72" formatCode="_-[$$-409]* #,##0.00_ ;_-[$$-409]* \-#,##0.00\ ;_-[$$-409]* &quot;-&quot;??_ ;_-@_ "/>
    </dxf>
    <dxf>
      <numFmt numFmtId="166" formatCode="0.0\ &quot;kg&quot;"/>
    </dxf>
    <dxf>
      <numFmt numFmtId="172" formatCode="_-[$$-409]* #,##0.00_ ;_-[$$-409]* \-#,##0.00\ ;_-[$$-409]* &quot;-&quot;??_ ;_-@_ "/>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2E052597-4FD6-4C8F-9828-2CA17E750C8F}">
      <tableStyleElement type="wholeTable" dxfId="57"/>
      <tableStyleElement type="headerRow" dxfId="56"/>
    </tableStyle>
    <tableStyle name="Purple Timeline Style" pivot="0" table="0" count="8" xr9:uid="{B5AA0AFB-3579-4704-A840-41EDB6266AD2}">
      <tableStyleElement type="wholeTable" dxfId="55"/>
      <tableStyleElement type="headerRow" dxfId="54"/>
    </tableStyle>
  </tableStyles>
  <colors>
    <mruColors>
      <color rgb="FF3C1464"/>
      <color rgb="FF421C5E"/>
      <color rgb="FF4A206A"/>
      <color rgb="FF502373"/>
      <color rgb="FF365422"/>
      <color rgb="FF5E913B"/>
      <color rgb="FF00682F"/>
      <color rgb="FF00863D"/>
      <color rgb="FF004821"/>
      <color rgb="FFE5FFF1"/>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[Zeus.xlsx]Total Sales!Total 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449436827389587E-2"/>
          <c:y val="0.11945255655853858"/>
          <c:w val="0.80465527473401477"/>
          <c:h val="0.73564696800789586"/>
        </c:manualLayout>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A8B9-4406-B417-DC024005B853}"/>
            </c:ext>
          </c:extLst>
        </c:ser>
        <c:ser>
          <c:idx val="1"/>
          <c:order val="1"/>
          <c:tx>
            <c:strRef>
              <c:f>'Total Sales'!$D$3:$D$4</c:f>
              <c:strCache>
                <c:ptCount val="1"/>
                <c:pt idx="0">
                  <c:v>Excelsa</c:v>
                </c:pt>
              </c:strCache>
            </c:strRef>
          </c:tx>
          <c:spPr>
            <a:ln w="28575" cap="rnd">
              <a:solidFill>
                <a:srgbClr val="9745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A8B9-4406-B417-DC024005B853}"/>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A8B9-4406-B417-DC024005B853}"/>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A8B9-4406-B417-DC024005B853}"/>
            </c:ext>
          </c:extLst>
        </c:ser>
        <c:dLbls>
          <c:showLegendKey val="0"/>
          <c:showVal val="0"/>
          <c:showCatName val="0"/>
          <c:showSerName val="0"/>
          <c:showPercent val="0"/>
          <c:showBubbleSize val="0"/>
        </c:dLbls>
        <c:smooth val="0"/>
        <c:axId val="1640201807"/>
        <c:axId val="1640202287"/>
      </c:lineChart>
      <c:catAx>
        <c:axId val="164020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40202287"/>
        <c:crosses val="autoZero"/>
        <c:auto val="1"/>
        <c:lblAlgn val="ctr"/>
        <c:lblOffset val="100"/>
        <c:noMultiLvlLbl val="0"/>
      </c:catAx>
      <c:valAx>
        <c:axId val="1640202287"/>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6402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F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[Zeus.xlsx]Top5 Customers!Total 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5422"/>
          </a:solidFill>
          <a:ln w="28575">
            <a:solidFill>
              <a:schemeClr val="bg1"/>
            </a:solidFill>
          </a:ln>
          <a:effectLst/>
        </c:spPr>
      </c:pivotFmt>
      <c:pivotFmt>
        <c:idx val="2"/>
        <c:spPr>
          <a:solidFill>
            <a:srgbClr val="A7CF8B"/>
          </a:solidFill>
          <a:ln w="28575">
            <a:solidFill>
              <a:schemeClr val="bg1"/>
            </a:solidFill>
          </a:ln>
          <a:effectLst/>
        </c:spPr>
      </c:pivotFmt>
      <c:pivotFmt>
        <c:idx val="3"/>
        <c:spPr>
          <a:solidFill>
            <a:srgbClr val="E5FFF1"/>
          </a:solidFill>
          <a:ln w="28575">
            <a:solidFill>
              <a:schemeClr val="bg1"/>
            </a:solidFill>
          </a:ln>
          <a:effectLst/>
        </c:spPr>
      </c:pivotFmt>
      <c:pivotFmt>
        <c:idx val="4"/>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CF8B"/>
          </a:solidFill>
          <a:ln w="28575">
            <a:solidFill>
              <a:schemeClr val="bg1"/>
            </a:solidFill>
          </a:ln>
          <a:effectLst/>
        </c:spPr>
      </c:pivotFmt>
      <c:pivotFmt>
        <c:idx val="6"/>
        <c:spPr>
          <a:solidFill>
            <a:srgbClr val="E5FFF1"/>
          </a:solidFill>
          <a:ln w="28575">
            <a:solidFill>
              <a:schemeClr val="bg1"/>
            </a:solidFill>
          </a:ln>
          <a:effectLst/>
        </c:spPr>
      </c:pivotFmt>
      <c:pivotFmt>
        <c:idx val="7"/>
        <c:spPr>
          <a:solidFill>
            <a:srgbClr val="365422"/>
          </a:solidFill>
          <a:ln w="28575">
            <a:solidFill>
              <a:schemeClr val="bg1"/>
            </a:solidFill>
          </a:ln>
          <a:effectLst/>
        </c:spPr>
      </c:pivotFmt>
      <c:pivotFmt>
        <c:idx val="8"/>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 Customers'!$B$3</c:f>
              <c:strCache>
                <c:ptCount val="1"/>
                <c:pt idx="0">
                  <c:v>Total</c:v>
                </c:pt>
              </c:strCache>
            </c:strRef>
          </c:tx>
          <c:spPr>
            <a:solidFill>
              <a:srgbClr val="29FF8A"/>
            </a:solidFill>
            <a:ln w="28575">
              <a:solidFill>
                <a:schemeClr val="bg1"/>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Customers'!$A$4:$A$8</c:f>
              <c:strCache>
                <c:ptCount val="5"/>
                <c:pt idx="0">
                  <c:v>Don Flintiff</c:v>
                </c:pt>
                <c:pt idx="1">
                  <c:v>Nealson Cuttler</c:v>
                </c:pt>
                <c:pt idx="2">
                  <c:v>Terri Farra</c:v>
                </c:pt>
                <c:pt idx="3">
                  <c:v>Brenn Dundredge</c:v>
                </c:pt>
                <c:pt idx="4">
                  <c:v>Allis Wilmore</c:v>
                </c:pt>
              </c:strCache>
            </c:strRef>
          </c:cat>
          <c:val>
            <c:numRef>
              <c:f>'Top5 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16F5-4DD8-A226-4F8605E637D6}"/>
            </c:ext>
          </c:extLst>
        </c:ser>
        <c:dLbls>
          <c:dLblPos val="outEnd"/>
          <c:showLegendKey val="0"/>
          <c:showVal val="1"/>
          <c:showCatName val="0"/>
          <c:showSerName val="0"/>
          <c:showPercent val="0"/>
          <c:showBubbleSize val="0"/>
        </c:dLbls>
        <c:gapWidth val="182"/>
        <c:axId val="1705658032"/>
        <c:axId val="1705656592"/>
      </c:barChart>
      <c:catAx>
        <c:axId val="170565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5656592"/>
        <c:crosses val="autoZero"/>
        <c:auto val="1"/>
        <c:lblAlgn val="ctr"/>
        <c:lblOffset val="100"/>
        <c:noMultiLvlLbl val="0"/>
      </c:catAx>
      <c:valAx>
        <c:axId val="1705656592"/>
        <c:scaling>
          <c:orientation val="minMax"/>
        </c:scaling>
        <c:delete val="0"/>
        <c:axPos val="b"/>
        <c:majorGridlines>
          <c:spPr>
            <a:ln w="9525" cap="flat" cmpd="sng" algn="ctr">
              <a:solidFill>
                <a:schemeClr val="bg1">
                  <a:lumMod val="9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5658032"/>
        <c:crosses val="autoZero"/>
        <c:crossBetween val="between"/>
      </c:valAx>
      <c:spPr>
        <a:solidFill>
          <a:srgbClr val="E2CFF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F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[Zeus.xlsx]CountryBarChart!Total Sales</c:name>
    <c:fmtId val="2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65422"/>
          </a:solidFill>
          <a:ln w="28575">
            <a:solidFill>
              <a:schemeClr val="bg1"/>
            </a:solidFill>
          </a:ln>
          <a:effectLst/>
        </c:spPr>
      </c:pivotFmt>
      <c:pivotFmt>
        <c:idx val="2"/>
        <c:spPr>
          <a:solidFill>
            <a:srgbClr val="A7CF8B"/>
          </a:solidFill>
          <a:ln w="28575">
            <a:solidFill>
              <a:schemeClr val="bg1"/>
            </a:solidFill>
          </a:ln>
          <a:effectLst/>
        </c:spPr>
      </c:pivotFmt>
      <c:pivotFmt>
        <c:idx val="3"/>
        <c:spPr>
          <a:solidFill>
            <a:srgbClr val="E5FFF1"/>
          </a:solidFill>
          <a:ln w="28575">
            <a:solidFill>
              <a:schemeClr val="bg1"/>
            </a:solidFill>
          </a:ln>
          <a:effectLst/>
        </c:spPr>
      </c:pivotFmt>
      <c:pivotFmt>
        <c:idx val="4"/>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CF8B"/>
          </a:solidFill>
          <a:ln w="28575">
            <a:solidFill>
              <a:schemeClr val="bg1"/>
            </a:solidFill>
          </a:ln>
          <a:effectLst/>
        </c:spPr>
      </c:pivotFmt>
      <c:pivotFmt>
        <c:idx val="6"/>
        <c:spPr>
          <a:solidFill>
            <a:srgbClr val="E5FFF1"/>
          </a:solidFill>
          <a:ln w="28575">
            <a:solidFill>
              <a:schemeClr val="bg1"/>
            </a:solidFill>
          </a:ln>
          <a:effectLst/>
        </c:spPr>
      </c:pivotFmt>
      <c:pivotFmt>
        <c:idx val="7"/>
        <c:spPr>
          <a:solidFill>
            <a:srgbClr val="365422"/>
          </a:solidFill>
          <a:ln w="28575">
            <a:solidFill>
              <a:schemeClr val="bg1"/>
            </a:solidFill>
          </a:ln>
          <a:effectLst/>
        </c:spPr>
      </c:pivotFmt>
      <c:pivotFmt>
        <c:idx val="8"/>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7CF8B"/>
          </a:solidFill>
          <a:ln w="28575">
            <a:solidFill>
              <a:schemeClr val="bg1"/>
            </a:solidFill>
          </a:ln>
          <a:effectLst/>
        </c:spPr>
      </c:pivotFmt>
      <c:pivotFmt>
        <c:idx val="10"/>
        <c:spPr>
          <a:solidFill>
            <a:srgbClr val="E5FFF1"/>
          </a:solidFill>
          <a:ln w="28575">
            <a:solidFill>
              <a:schemeClr val="bg1"/>
            </a:solidFill>
          </a:ln>
          <a:effectLst/>
        </c:spPr>
      </c:pivotFmt>
      <c:pivotFmt>
        <c:idx val="11"/>
        <c:spPr>
          <a:solidFill>
            <a:srgbClr val="365422"/>
          </a:solidFill>
          <a:ln w="28575">
            <a:solidFill>
              <a:schemeClr val="bg1"/>
            </a:solidFill>
          </a:ln>
          <a:effectLst/>
        </c:spPr>
      </c:pivotFmt>
      <c:pivotFmt>
        <c:idx val="12"/>
        <c:spPr>
          <a:solidFill>
            <a:srgbClr val="29FF8A"/>
          </a:solidFill>
          <a:ln w="2857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A7CF8B"/>
          </a:solidFill>
          <a:ln w="28575">
            <a:solidFill>
              <a:schemeClr val="bg1"/>
            </a:solidFill>
          </a:ln>
          <a:effectLst/>
        </c:spPr>
      </c:pivotFmt>
      <c:pivotFmt>
        <c:idx val="14"/>
        <c:spPr>
          <a:solidFill>
            <a:srgbClr val="E5FFF1"/>
          </a:solidFill>
          <a:ln w="28575">
            <a:solidFill>
              <a:schemeClr val="bg1"/>
            </a:solidFill>
          </a:ln>
          <a:effectLst/>
        </c:spPr>
      </c:pivotFmt>
      <c:pivotFmt>
        <c:idx val="15"/>
        <c:spPr>
          <a:solidFill>
            <a:srgbClr val="365422"/>
          </a:solidFill>
          <a:ln w="2857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29FF8A"/>
            </a:solidFill>
            <a:ln w="28575">
              <a:solidFill>
                <a:schemeClr val="bg1"/>
              </a:solidFill>
            </a:ln>
            <a:effectLst/>
          </c:spPr>
          <c:invertIfNegative val="0"/>
          <c:dPt>
            <c:idx val="0"/>
            <c:invertIfNegative val="0"/>
            <c:bubble3D val="0"/>
            <c:spPr>
              <a:solidFill>
                <a:srgbClr val="A7CF8B"/>
              </a:solidFill>
              <a:ln w="28575">
                <a:solidFill>
                  <a:schemeClr val="bg1"/>
                </a:solidFill>
              </a:ln>
              <a:effectLst/>
            </c:spPr>
          </c:dPt>
          <c:dPt>
            <c:idx val="1"/>
            <c:invertIfNegative val="0"/>
            <c:bubble3D val="0"/>
            <c:spPr>
              <a:solidFill>
                <a:srgbClr val="E5FFF1"/>
              </a:solidFill>
              <a:ln w="28575">
                <a:solidFill>
                  <a:schemeClr val="bg1"/>
                </a:solidFill>
              </a:ln>
              <a:effectLst/>
            </c:spPr>
          </c:dPt>
          <c:dPt>
            <c:idx val="2"/>
            <c:invertIfNegative val="0"/>
            <c:bubble3D val="0"/>
            <c:spPr>
              <a:solidFill>
                <a:srgbClr val="365422"/>
              </a:solidFill>
              <a:ln w="28575">
                <a:solidFill>
                  <a:schemeClr val="bg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8-76BB-44E0-A763-BF7FAA088DF0}"/>
            </c:ext>
          </c:extLst>
        </c:ser>
        <c:dLbls>
          <c:dLblPos val="outEnd"/>
          <c:showLegendKey val="0"/>
          <c:showVal val="1"/>
          <c:showCatName val="0"/>
          <c:showSerName val="0"/>
          <c:showPercent val="0"/>
          <c:showBubbleSize val="0"/>
        </c:dLbls>
        <c:gapWidth val="182"/>
        <c:axId val="1705658032"/>
        <c:axId val="1705656592"/>
      </c:barChart>
      <c:catAx>
        <c:axId val="170565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5656592"/>
        <c:crosses val="autoZero"/>
        <c:auto val="1"/>
        <c:lblAlgn val="ctr"/>
        <c:lblOffset val="100"/>
        <c:noMultiLvlLbl val="0"/>
      </c:catAx>
      <c:valAx>
        <c:axId val="1705656592"/>
        <c:scaling>
          <c:orientation val="minMax"/>
        </c:scaling>
        <c:delete val="0"/>
        <c:axPos val="b"/>
        <c:majorGridlines>
          <c:spPr>
            <a:ln w="9525" cap="flat" cmpd="sng" algn="ctr">
              <a:solidFill>
                <a:schemeClr val="bg1">
                  <a:lumMod val="9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5658032"/>
        <c:crosses val="autoZero"/>
        <c:crossBetween val="between"/>
      </c:valAx>
      <c:spPr>
        <a:solidFill>
          <a:srgbClr val="E2CFF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F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10" name="Rectangle 9">
          <a:extLst>
            <a:ext uri="{FF2B5EF4-FFF2-40B4-BE49-F238E27FC236}">
              <a16:creationId xmlns:a16="http://schemas.microsoft.com/office/drawing/2014/main" id="{926A9D73-3DB3-5E21-CCD4-8E8079D77E4F}"/>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aseline="0">
              <a:solidFill>
                <a:schemeClr val="bg1"/>
              </a:solidFill>
            </a:rPr>
            <a:t>COFFEE SALES DASHBOARD</a:t>
          </a:r>
          <a:endParaRPr lang="en-IN" sz="4800">
            <a:solidFill>
              <a:schemeClr val="bg1"/>
            </a:solidFill>
          </a:endParaRPr>
        </a:p>
      </xdr:txBody>
    </xdr:sp>
    <xdr:clientData/>
  </xdr:twoCellAnchor>
  <xdr:twoCellAnchor>
    <xdr:from>
      <xdr:col>1</xdr:col>
      <xdr:colOff>0</xdr:colOff>
      <xdr:row>17</xdr:row>
      <xdr:rowOff>9524</xdr:rowOff>
    </xdr:from>
    <xdr:to>
      <xdr:col>15</xdr:col>
      <xdr:colOff>0</xdr:colOff>
      <xdr:row>40</xdr:row>
      <xdr:rowOff>0</xdr:rowOff>
    </xdr:to>
    <xdr:graphicFrame macro="">
      <xdr:nvGraphicFramePr>
        <xdr:cNvPr id="2" name="Chart 1">
          <a:extLst>
            <a:ext uri="{FF2B5EF4-FFF2-40B4-BE49-F238E27FC236}">
              <a16:creationId xmlns:a16="http://schemas.microsoft.com/office/drawing/2014/main" id="{08C81888-1C06-41C5-8261-F152829E1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552450</xdr:colOff>
      <xdr:row>16</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49CE9E74-2BCB-48BE-A7DB-F129E31E985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10363200" cy="1905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xdr:colOff>
      <xdr:row>10</xdr:row>
      <xdr:rowOff>1</xdr:rowOff>
    </xdr:from>
    <xdr:to>
      <xdr:col>22</xdr:col>
      <xdr:colOff>333375</xdr:colOff>
      <xdr:row>16</xdr:row>
      <xdr:rowOff>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5628292F-33AC-4230-A65E-9A8C5966541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34651" y="1638301"/>
              <a:ext cx="2162174"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xdr:rowOff>
    </xdr:from>
    <xdr:to>
      <xdr:col>26</xdr:col>
      <xdr:colOff>0</xdr:colOff>
      <xdr:row>9</xdr:row>
      <xdr:rowOff>161925</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8011B5AF-23DC-4EFF-9451-780C8C4002C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91800" y="876300"/>
              <a:ext cx="426720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381000</xdr:colOff>
      <xdr:row>10</xdr:row>
      <xdr:rowOff>1</xdr:rowOff>
    </xdr:from>
    <xdr:to>
      <xdr:col>26</xdr:col>
      <xdr:colOff>0</xdr:colOff>
      <xdr:row>16</xdr:row>
      <xdr:rowOff>1</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5C57F74D-22B3-4B97-B513-239303553B2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744450" y="1638301"/>
              <a:ext cx="20574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28</xdr:row>
      <xdr:rowOff>0</xdr:rowOff>
    </xdr:from>
    <xdr:to>
      <xdr:col>26</xdr:col>
      <xdr:colOff>0</xdr:colOff>
      <xdr:row>39</xdr:row>
      <xdr:rowOff>190499</xdr:rowOff>
    </xdr:to>
    <xdr:graphicFrame macro="">
      <xdr:nvGraphicFramePr>
        <xdr:cNvPr id="8" name="Chart 7">
          <a:extLst>
            <a:ext uri="{FF2B5EF4-FFF2-40B4-BE49-F238E27FC236}">
              <a16:creationId xmlns:a16="http://schemas.microsoft.com/office/drawing/2014/main" id="{2E649940-2441-4B98-ADDE-97EB4D208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16</xdr:row>
      <xdr:rowOff>180974</xdr:rowOff>
    </xdr:from>
    <xdr:to>
      <xdr:col>26</xdr:col>
      <xdr:colOff>0</xdr:colOff>
      <xdr:row>27</xdr:row>
      <xdr:rowOff>0</xdr:rowOff>
    </xdr:to>
    <xdr:graphicFrame macro="">
      <xdr:nvGraphicFramePr>
        <xdr:cNvPr id="12" name="Chart 11">
          <a:extLst>
            <a:ext uri="{FF2B5EF4-FFF2-40B4-BE49-F238E27FC236}">
              <a16:creationId xmlns:a16="http://schemas.microsoft.com/office/drawing/2014/main" id="{C34A2854-BCC6-F45B-010D-E43784CF4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049.888418171293" createdVersion="8" refreshedVersion="8" minRefreshableVersion="3" recordCount="1000" xr:uid="{B4768CA4-1BBA-461B-92D3-573FFA1F736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62006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82B0E-D3FD-4010-8EAE-DA12BB9D0F7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sortType="ascending"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2"/>
          </reference>
        </references>
      </pivotArea>
    </chartFormat>
    <chartFormat chart="8" format="3" series="1">
      <pivotArea type="data" outline="0" fieldPosition="0">
        <references count="2">
          <reference field="4294967294" count="1" selected="0">
            <x v="0"/>
          </reference>
          <reference field="13" count="1" selected="0">
            <x v="3"/>
          </reference>
        </references>
      </pivotArea>
    </chartFormat>
    <chartFormat chart="8" format="4">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12" format="9" series="1">
      <pivotArea type="data" outline="0" fieldPosition="0">
        <references count="2">
          <reference field="4294967294" count="1" selected="0">
            <x v="0"/>
          </reference>
          <reference field="13" count="1" selected="0">
            <x v="0"/>
          </reference>
        </references>
      </pivotArea>
    </chartFormat>
    <chartFormat chart="12" format="10" series="1">
      <pivotArea type="data" outline="0" fieldPosition="0">
        <references count="2">
          <reference field="4294967294" count="1" selected="0">
            <x v="0"/>
          </reference>
          <reference field="13" count="1" selected="0">
            <x v="1"/>
          </reference>
        </references>
      </pivotArea>
    </chartFormat>
    <chartFormat chart="12" format="11" series="1">
      <pivotArea type="data" outline="0" fieldPosition="0">
        <references count="2">
          <reference field="4294967294" count="1" selected="0">
            <x v="0"/>
          </reference>
          <reference field="13" count="1" selected="0">
            <x v="2"/>
          </reference>
        </references>
      </pivotArea>
    </chartFormat>
    <chartFormat chart="12"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0AFA9-E2EB-4937-9569-0F877CED0072}"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sortType="ascending"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2"/>
  </dataFields>
  <formats count="1">
    <format dxfId="44">
      <pivotArea outline="0" collapsedLevelsAreSubtotals="1" fieldPosition="0"/>
    </format>
  </formats>
  <chartFormats count="13">
    <chartFormat chart="11"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2"/>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12" format="3">
      <pivotArea type="data" outline="0" fieldPosition="0">
        <references count="2">
          <reference field="4294967294" count="1" selected="0">
            <x v="0"/>
          </reference>
          <reference field="7" count="1" selected="0">
            <x v="0"/>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1"/>
          </reference>
        </references>
      </pivotArea>
    </chartFormat>
    <chartFormat chart="24" format="10">
      <pivotArea type="data" outline="0" fieldPosition="0">
        <references count="2">
          <reference field="4294967294" count="1" selected="0">
            <x v="0"/>
          </reference>
          <reference field="7" count="1" selected="0">
            <x v="0"/>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7" count="1" selected="0">
            <x v="1"/>
          </reference>
        </references>
      </pivotArea>
    </chartFormat>
    <chartFormat chart="26" format="14">
      <pivotArea type="data" outline="0" fieldPosition="0">
        <references count="2">
          <reference field="4294967294" count="1" selected="0">
            <x v="0"/>
          </reference>
          <reference field="7" count="1" selected="0">
            <x v="0"/>
          </reference>
        </references>
      </pivotArea>
    </chartFormat>
    <chartFormat chart="26" format="15">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E25040-4BD8-4078-A73E-783FE25F4E2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sortType="ascending"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2"/>
  </dataFields>
  <formats count="1">
    <format dxfId="40">
      <pivotArea outline="0" collapsedLevelsAreSubtotals="1" fieldPosition="0"/>
    </format>
  </formats>
  <chartFormats count="5">
    <chartFormat chart="11"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F206765-8BA3-4538-9AF9-E433185D6AB4}" sourceName="Size">
  <pivotTables>
    <pivotTable tabId="18" name="Total Sales"/>
    <pivotTable tabId="19" name="Total Sales"/>
    <pivotTable tabId="20" name="Total Sales"/>
  </pivotTables>
  <data>
    <tabular pivotCacheId="76200656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3E91F92-C872-423E-8FBE-B50E9B632576}" sourceName="Roast Type Name">
  <pivotTables>
    <pivotTable tabId="18" name="Total Sales"/>
    <pivotTable tabId="19" name="Total Sales"/>
    <pivotTable tabId="20" name="Total Sales"/>
  </pivotTables>
  <data>
    <tabular pivotCacheId="76200656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D8924F9-19CD-4461-91ED-E67826D7BDCB}" sourceName="Loyalty Card">
  <pivotTables>
    <pivotTable tabId="18" name="Total Sales"/>
    <pivotTable tabId="19" name="Total Sales"/>
    <pivotTable tabId="20" name="Total Sales"/>
  </pivotTables>
  <data>
    <tabular pivotCacheId="76200656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D7D0EE3-36B2-4BDA-8DB9-76E9E3368BC5}" cache="Slicer_Size" caption="Size" columnCount="2" rowHeight="241300"/>
  <slicer name="Roast Type Name" xr10:uid="{2A65F79B-3AF4-45F0-9BE0-F632D41A66A7}" cache="Slicer_Roast_Type_Name" caption="Roast Type Name" columnCount="3" rowHeight="241300"/>
  <slicer name="Loyalty Card" xr10:uid="{D6442E2B-8F48-4B51-AAAA-2C4D1CC796BB}"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9C0E1-8954-45BA-994F-3938D67D64BC}" name="orders" displayName="orders" ref="A1:P1001" totalsRowShown="0" headerRowDxfId="53">
  <autoFilter ref="A1:P1001" xr:uid="{7DE9C0E1-8954-45BA-994F-3938D67D64BC}"/>
  <tableColumns count="16">
    <tableColumn id="1" xr3:uid="{3BED6F1A-F530-4803-93DB-C966B8D191A5}" name="Order ID" dataDxfId="52"/>
    <tableColumn id="2" xr3:uid="{AC440AEE-B180-44C6-842A-66906C59E419}" name="Order Date" dataDxfId="51"/>
    <tableColumn id="3" xr3:uid="{58C25FE2-E7BB-430B-A57B-DCCBCB8D6F79}" name="Customer ID" dataDxfId="50"/>
    <tableColumn id="4" xr3:uid="{88B097E0-9B66-48F8-897C-D7749A93968A}" name="Product ID"/>
    <tableColumn id="5" xr3:uid="{9B1F8FC0-059D-466C-AE50-A531E65D6FDD}" name="Quantity" dataDxfId="49"/>
    <tableColumn id="6" xr3:uid="{3C4A0EBC-1F4B-49CA-A34D-F0865A46DFA6}" name="Customer Name" dataDxfId="48">
      <calculatedColumnFormula>_xlfn.XLOOKUP(C2,customers!$A$1:$A$1001,customers!$B$1:$B$1001,,0)</calculatedColumnFormula>
    </tableColumn>
    <tableColumn id="7" xr3:uid="{5BBBC608-2060-40E1-B66A-38FAA346DF4B}" name="Email" dataDxfId="47">
      <calculatedColumnFormula>IF(_xlfn.XLOOKUP(C2,customers!$A$1:$A$1001,customers!$C$1:$C$1001,,0)=0,"",(_xlfn.XLOOKUP(C2,customers!$A$1:$A$1001,customers!$C$1:$C$1001,,0)))</calculatedColumnFormula>
    </tableColumn>
    <tableColumn id="8" xr3:uid="{3323886E-020D-424D-999A-39A3F4F85EA9}" name="Country" dataDxfId="46">
      <calculatedColumnFormula>_xlfn.XLOOKUP(orders!C2,customers!$A$1:$A$1001,customers!$G$1:$G$1001,,0)</calculatedColumnFormula>
    </tableColumn>
    <tableColumn id="9" xr3:uid="{6F9BEF5B-483E-4519-BE1B-3C99121A4D22}" name="Coffee Type">
      <calculatedColumnFormula>INDEX(products!$A$1:$G$49,MATCH(orders!$D2,products!$A$1:$A$49,0),MATCH(orders!I$1,products!$A$1:$G$1,0))</calculatedColumnFormula>
    </tableColumn>
    <tableColumn id="10" xr3:uid="{FD539D9C-3475-4563-854D-E56EAF136DCC}" name="Roast Type">
      <calculatedColumnFormula>INDEX(products!$A$1:$G$49,MATCH(orders!$D2,products!$A$1:$A$49,0),MATCH(orders!J$1,products!$A$1:$G$1,0))</calculatedColumnFormula>
    </tableColumn>
    <tableColumn id="11" xr3:uid="{C58AB07E-CDCC-4894-AB55-625AB02036C5}" name="Size" dataDxfId="43">
      <calculatedColumnFormula>INDEX(products!$A$1:$G$49,MATCH(orders!$D2,products!$A$1:$A$49,0),MATCH(orders!K$1,products!$A$1:$G$1,0))</calculatedColumnFormula>
    </tableColumn>
    <tableColumn id="12" xr3:uid="{BD72C839-CE58-4324-BE5C-416FCEF0DEAD}" name="Unit Price" dataDxfId="42" dataCellStyle="Currency">
      <calculatedColumnFormula>INDEX(products!$A$1:$G$49,MATCH(orders!$D2,products!$A$1:$A$49,0),MATCH(orders!L$1,products!$A$1:$G$1,0))</calculatedColumnFormula>
    </tableColumn>
    <tableColumn id="13" xr3:uid="{6F4C7A29-BD5A-4FA7-9A52-FC5B838F2365}" name="Sales" dataDxfId="41">
      <calculatedColumnFormula>L2*E2</calculatedColumnFormula>
    </tableColumn>
    <tableColumn id="14" xr3:uid="{55D739E3-01A7-4218-A8A1-E314848A95C8}" name="Coffee Type Name">
      <calculatedColumnFormula>IF(I2="Rob","Robusta",IF(I2="exc","Excelsa",IF(I2="ara","Arabica",IF(I2="Lib","Liberica",""))))</calculatedColumnFormula>
    </tableColumn>
    <tableColumn id="15" xr3:uid="{75F1EA4D-C894-421F-8065-39A12C597955}" name="Roast Type Name">
      <calculatedColumnFormula>IF(J2="m","Mediium",IF(J2="l","Light",IF(J2="d","Dark","")))</calculatedColumnFormula>
    </tableColumn>
    <tableColumn id="16" xr3:uid="{5A3CD4AD-B13D-4F0C-A73D-71D15391669E}" name="Loyalty Card" dataDxfId="45">
      <calculatedColumnFormula>_xlfn.XLOOKUP(orders[[#This Row],[Customer ID]],customers!$A$1:$A$1001,customers!$I$1:$I$1001,,0)</calculatedColumnFormula>
    </tableColumn>
  </tableColumns>
  <tableStyleInfo name="TableStyleLight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A93EB04-AD15-4F15-B0BE-39E1F682489B}" sourceName="Order Date">
  <pivotTables>
    <pivotTable tabId="18" name="Total Sales"/>
    <pivotTable tabId="19" name="Total Sales"/>
    <pivotTable tabId="20" name="Total Sales"/>
  </pivotTables>
  <state minimalRefreshVersion="6" lastRefreshVersion="6" pivotCacheId="7620065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CBD5595-25E7-4542-A8DB-76E11F51DB7A}" cache="NativeTimeline_Order_Date" caption="Order Date" level="2" selectionLevel="2" scrollPosition="2021-03-29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EBDF7-4C76-4DA7-952B-D1D53939A877}">
  <dimension ref="A3:F48"/>
  <sheetViews>
    <sheetView workbookViewId="0">
      <selection activeCell="I8" sqref="I8"/>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5" t="s">
        <v>6220</v>
      </c>
      <c r="C3" s="5" t="s">
        <v>6196</v>
      </c>
    </row>
    <row r="4" spans="1:6" x14ac:dyDescent="0.25">
      <c r="A4" s="5" t="s">
        <v>6214</v>
      </c>
      <c r="B4" s="5" t="s">
        <v>6215</v>
      </c>
      <c r="C4" t="s">
        <v>6216</v>
      </c>
      <c r="D4" t="s">
        <v>6217</v>
      </c>
      <c r="E4" t="s">
        <v>6218</v>
      </c>
      <c r="F4" t="s">
        <v>6219</v>
      </c>
    </row>
    <row r="5" spans="1:6" x14ac:dyDescent="0.25">
      <c r="A5" t="s">
        <v>6198</v>
      </c>
      <c r="B5" t="s">
        <v>6202</v>
      </c>
      <c r="C5" s="6">
        <v>186.85499999999999</v>
      </c>
      <c r="D5" s="6">
        <v>305.97000000000003</v>
      </c>
      <c r="E5" s="6">
        <v>213.15999999999997</v>
      </c>
      <c r="F5" s="6">
        <v>123</v>
      </c>
    </row>
    <row r="6" spans="1:6" x14ac:dyDescent="0.25">
      <c r="B6" t="s">
        <v>6203</v>
      </c>
      <c r="C6" s="6">
        <v>251.96499999999997</v>
      </c>
      <c r="D6" s="6">
        <v>129.46</v>
      </c>
      <c r="E6" s="6">
        <v>434.03999999999996</v>
      </c>
      <c r="F6" s="6">
        <v>171.93999999999997</v>
      </c>
    </row>
    <row r="7" spans="1:6" x14ac:dyDescent="0.25">
      <c r="B7" t="s">
        <v>6204</v>
      </c>
      <c r="C7" s="6">
        <v>224.94499999999999</v>
      </c>
      <c r="D7" s="6">
        <v>349.12</v>
      </c>
      <c r="E7" s="6">
        <v>321.04000000000002</v>
      </c>
      <c r="F7" s="6">
        <v>126.035</v>
      </c>
    </row>
    <row r="8" spans="1:6" x14ac:dyDescent="0.25">
      <c r="B8" t="s">
        <v>6205</v>
      </c>
      <c r="C8" s="6">
        <v>307.12</v>
      </c>
      <c r="D8" s="6">
        <v>681.07499999999993</v>
      </c>
      <c r="E8" s="6">
        <v>533.70499999999993</v>
      </c>
      <c r="F8" s="6">
        <v>158.85</v>
      </c>
    </row>
    <row r="9" spans="1:6" x14ac:dyDescent="0.25">
      <c r="B9" t="s">
        <v>6206</v>
      </c>
      <c r="C9" s="6">
        <v>53.664999999999992</v>
      </c>
      <c r="D9" s="6">
        <v>83.025000000000006</v>
      </c>
      <c r="E9" s="6">
        <v>193.83499999999998</v>
      </c>
      <c r="F9" s="6">
        <v>68.039999999999992</v>
      </c>
    </row>
    <row r="10" spans="1:6" x14ac:dyDescent="0.25">
      <c r="B10" t="s">
        <v>6207</v>
      </c>
      <c r="C10" s="6">
        <v>163.01999999999998</v>
      </c>
      <c r="D10" s="6">
        <v>678.3599999999999</v>
      </c>
      <c r="E10" s="6">
        <v>171.04500000000002</v>
      </c>
      <c r="F10" s="6">
        <v>372.255</v>
      </c>
    </row>
    <row r="11" spans="1:6" x14ac:dyDescent="0.25">
      <c r="B11" t="s">
        <v>6208</v>
      </c>
      <c r="C11" s="6">
        <v>345.02</v>
      </c>
      <c r="D11" s="6">
        <v>273.86999999999995</v>
      </c>
      <c r="E11" s="6">
        <v>184.12999999999997</v>
      </c>
      <c r="F11" s="6">
        <v>201.11499999999998</v>
      </c>
    </row>
    <row r="12" spans="1:6" x14ac:dyDescent="0.25">
      <c r="B12" t="s">
        <v>6209</v>
      </c>
      <c r="C12" s="6">
        <v>334.89</v>
      </c>
      <c r="D12" s="6">
        <v>70.95</v>
      </c>
      <c r="E12" s="6">
        <v>134.23000000000002</v>
      </c>
      <c r="F12" s="6">
        <v>166.27499999999998</v>
      </c>
    </row>
    <row r="13" spans="1:6" x14ac:dyDescent="0.25">
      <c r="B13" t="s">
        <v>6210</v>
      </c>
      <c r="C13" s="6">
        <v>178.70999999999998</v>
      </c>
      <c r="D13" s="6">
        <v>166.1</v>
      </c>
      <c r="E13" s="6">
        <v>439.30999999999995</v>
      </c>
      <c r="F13" s="6">
        <v>492.9</v>
      </c>
    </row>
    <row r="14" spans="1:6" x14ac:dyDescent="0.25">
      <c r="B14" t="s">
        <v>6211</v>
      </c>
      <c r="C14" s="6">
        <v>301.98500000000001</v>
      </c>
      <c r="D14" s="6">
        <v>153.76499999999999</v>
      </c>
      <c r="E14" s="6">
        <v>215.55499999999998</v>
      </c>
      <c r="F14" s="6">
        <v>213.66499999999999</v>
      </c>
    </row>
    <row r="15" spans="1:6" x14ac:dyDescent="0.25">
      <c r="B15" t="s">
        <v>6212</v>
      </c>
      <c r="C15" s="6">
        <v>312.83499999999998</v>
      </c>
      <c r="D15" s="6">
        <v>63.249999999999993</v>
      </c>
      <c r="E15" s="6">
        <v>350.89500000000004</v>
      </c>
      <c r="F15" s="6">
        <v>96.405000000000001</v>
      </c>
    </row>
    <row r="16" spans="1:6" x14ac:dyDescent="0.25">
      <c r="B16" t="s">
        <v>6213</v>
      </c>
      <c r="C16" s="6">
        <v>265.62</v>
      </c>
      <c r="D16" s="6">
        <v>526.51499999999987</v>
      </c>
      <c r="E16" s="6">
        <v>187.06</v>
      </c>
      <c r="F16" s="6">
        <v>210.58999999999997</v>
      </c>
    </row>
    <row r="17" spans="1:6" x14ac:dyDescent="0.25">
      <c r="A17" t="s">
        <v>6199</v>
      </c>
      <c r="B17" t="s">
        <v>6202</v>
      </c>
      <c r="C17" s="6">
        <v>47.25</v>
      </c>
      <c r="D17" s="6">
        <v>65.805000000000007</v>
      </c>
      <c r="E17" s="6">
        <v>274.67500000000001</v>
      </c>
      <c r="F17" s="6">
        <v>179.22</v>
      </c>
    </row>
    <row r="18" spans="1:6" x14ac:dyDescent="0.25">
      <c r="B18" t="s">
        <v>6203</v>
      </c>
      <c r="C18" s="6">
        <v>745.44999999999993</v>
      </c>
      <c r="D18" s="6">
        <v>428.88499999999999</v>
      </c>
      <c r="E18" s="6">
        <v>194.17499999999998</v>
      </c>
      <c r="F18" s="6">
        <v>429.82999999999993</v>
      </c>
    </row>
    <row r="19" spans="1:6" x14ac:dyDescent="0.25">
      <c r="B19" t="s">
        <v>6204</v>
      </c>
      <c r="C19" s="6">
        <v>130.47</v>
      </c>
      <c r="D19" s="6">
        <v>271.48500000000001</v>
      </c>
      <c r="E19" s="6">
        <v>281.20499999999998</v>
      </c>
      <c r="F19" s="6">
        <v>231.63000000000002</v>
      </c>
    </row>
    <row r="20" spans="1:6" x14ac:dyDescent="0.25">
      <c r="B20" t="s">
        <v>6205</v>
      </c>
      <c r="C20" s="6">
        <v>27</v>
      </c>
      <c r="D20" s="6">
        <v>347.26</v>
      </c>
      <c r="E20" s="6">
        <v>147.51</v>
      </c>
      <c r="F20" s="6">
        <v>240.04</v>
      </c>
    </row>
    <row r="21" spans="1:6" x14ac:dyDescent="0.25">
      <c r="B21" t="s">
        <v>6206</v>
      </c>
      <c r="C21" s="6">
        <v>255.11499999999995</v>
      </c>
      <c r="D21" s="6">
        <v>541.73</v>
      </c>
      <c r="E21" s="6">
        <v>83.43</v>
      </c>
      <c r="F21" s="6">
        <v>59.079999999999991</v>
      </c>
    </row>
    <row r="22" spans="1:6" x14ac:dyDescent="0.25">
      <c r="B22" t="s">
        <v>6207</v>
      </c>
      <c r="C22" s="6">
        <v>584.78999999999985</v>
      </c>
      <c r="D22" s="6">
        <v>357.42999999999995</v>
      </c>
      <c r="E22" s="6">
        <v>355.34</v>
      </c>
      <c r="F22" s="6">
        <v>140.88</v>
      </c>
    </row>
    <row r="23" spans="1:6" x14ac:dyDescent="0.25">
      <c r="B23" t="s">
        <v>6208</v>
      </c>
      <c r="C23" s="6">
        <v>430.62</v>
      </c>
      <c r="D23" s="6">
        <v>227.42500000000001</v>
      </c>
      <c r="E23" s="6">
        <v>236.315</v>
      </c>
      <c r="F23" s="6">
        <v>414.58499999999992</v>
      </c>
    </row>
    <row r="24" spans="1:6" x14ac:dyDescent="0.25">
      <c r="B24" t="s">
        <v>6209</v>
      </c>
      <c r="C24" s="6">
        <v>22.5</v>
      </c>
      <c r="D24" s="6">
        <v>77.72</v>
      </c>
      <c r="E24" s="6">
        <v>60.5</v>
      </c>
      <c r="F24" s="6">
        <v>139.67999999999998</v>
      </c>
    </row>
    <row r="25" spans="1:6" x14ac:dyDescent="0.25">
      <c r="B25" t="s">
        <v>6210</v>
      </c>
      <c r="C25" s="6">
        <v>126.14999999999999</v>
      </c>
      <c r="D25" s="6">
        <v>195.11</v>
      </c>
      <c r="E25" s="6">
        <v>89.13</v>
      </c>
      <c r="F25" s="6">
        <v>302.65999999999997</v>
      </c>
    </row>
    <row r="26" spans="1:6" x14ac:dyDescent="0.25">
      <c r="B26" t="s">
        <v>6211</v>
      </c>
      <c r="C26" s="6">
        <v>376.03</v>
      </c>
      <c r="D26" s="6">
        <v>523.24</v>
      </c>
      <c r="E26" s="6">
        <v>440.96499999999997</v>
      </c>
      <c r="F26" s="6">
        <v>174.46999999999997</v>
      </c>
    </row>
    <row r="27" spans="1:6" x14ac:dyDescent="0.25">
      <c r="B27" t="s">
        <v>6212</v>
      </c>
      <c r="C27" s="6">
        <v>515.17999999999995</v>
      </c>
      <c r="D27" s="6">
        <v>142.56</v>
      </c>
      <c r="E27" s="6">
        <v>347.03999999999996</v>
      </c>
      <c r="F27" s="6">
        <v>104.08499999999999</v>
      </c>
    </row>
    <row r="28" spans="1:6" x14ac:dyDescent="0.25">
      <c r="B28" t="s">
        <v>6213</v>
      </c>
      <c r="C28" s="6">
        <v>95.859999999999985</v>
      </c>
      <c r="D28" s="6">
        <v>484.76</v>
      </c>
      <c r="E28" s="6">
        <v>94.17</v>
      </c>
      <c r="F28" s="6">
        <v>77.10499999999999</v>
      </c>
    </row>
    <row r="29" spans="1:6" x14ac:dyDescent="0.25">
      <c r="A29" t="s">
        <v>6200</v>
      </c>
      <c r="B29" t="s">
        <v>6202</v>
      </c>
      <c r="C29" s="6">
        <v>258.34500000000003</v>
      </c>
      <c r="D29" s="6">
        <v>139.625</v>
      </c>
      <c r="E29" s="6">
        <v>279.52000000000004</v>
      </c>
      <c r="F29" s="6">
        <v>160.19499999999999</v>
      </c>
    </row>
    <row r="30" spans="1:6" x14ac:dyDescent="0.25">
      <c r="B30" t="s">
        <v>6203</v>
      </c>
      <c r="C30" s="6">
        <v>342.2</v>
      </c>
      <c r="D30" s="6">
        <v>284.24999999999994</v>
      </c>
      <c r="E30" s="6">
        <v>251.83</v>
      </c>
      <c r="F30" s="6">
        <v>80.550000000000011</v>
      </c>
    </row>
    <row r="31" spans="1:6" x14ac:dyDescent="0.25">
      <c r="B31" t="s">
        <v>6204</v>
      </c>
      <c r="C31" s="6">
        <v>418.30499999999989</v>
      </c>
      <c r="D31" s="6">
        <v>468.125</v>
      </c>
      <c r="E31" s="6">
        <v>405.05500000000006</v>
      </c>
      <c r="F31" s="6">
        <v>253.15499999999997</v>
      </c>
    </row>
    <row r="32" spans="1:6" x14ac:dyDescent="0.25">
      <c r="B32" t="s">
        <v>6205</v>
      </c>
      <c r="C32" s="6">
        <v>102.32999999999998</v>
      </c>
      <c r="D32" s="6">
        <v>242.14000000000001</v>
      </c>
      <c r="E32" s="6">
        <v>554.875</v>
      </c>
      <c r="F32" s="6">
        <v>106.23999999999998</v>
      </c>
    </row>
    <row r="33" spans="1:6" x14ac:dyDescent="0.25">
      <c r="B33" t="s">
        <v>6206</v>
      </c>
      <c r="C33" s="6">
        <v>234.71999999999997</v>
      </c>
      <c r="D33" s="6">
        <v>133.08000000000001</v>
      </c>
      <c r="E33" s="6">
        <v>267.2</v>
      </c>
      <c r="F33" s="6">
        <v>272.68999999999994</v>
      </c>
    </row>
    <row r="34" spans="1:6" x14ac:dyDescent="0.25">
      <c r="B34" t="s">
        <v>6207</v>
      </c>
      <c r="C34" s="6">
        <v>430.39</v>
      </c>
      <c r="D34" s="6">
        <v>136.20500000000001</v>
      </c>
      <c r="E34" s="6">
        <v>209.6</v>
      </c>
      <c r="F34" s="6">
        <v>88.334999999999994</v>
      </c>
    </row>
    <row r="35" spans="1:6" x14ac:dyDescent="0.25">
      <c r="B35" t="s">
        <v>6208</v>
      </c>
      <c r="C35" s="6">
        <v>109.005</v>
      </c>
      <c r="D35" s="6">
        <v>393.57499999999999</v>
      </c>
      <c r="E35" s="6">
        <v>61.034999999999997</v>
      </c>
      <c r="F35" s="6">
        <v>199.48999999999998</v>
      </c>
    </row>
    <row r="36" spans="1:6" x14ac:dyDescent="0.25">
      <c r="B36" t="s">
        <v>6209</v>
      </c>
      <c r="C36" s="6">
        <v>287.52499999999998</v>
      </c>
      <c r="D36" s="6">
        <v>288.67</v>
      </c>
      <c r="E36" s="6">
        <v>125.58</v>
      </c>
      <c r="F36" s="6">
        <v>374.13499999999999</v>
      </c>
    </row>
    <row r="37" spans="1:6" x14ac:dyDescent="0.25">
      <c r="B37" t="s">
        <v>6210</v>
      </c>
      <c r="C37" s="6">
        <v>840.92999999999984</v>
      </c>
      <c r="D37" s="6">
        <v>409.875</v>
      </c>
      <c r="E37" s="6">
        <v>171.32999999999998</v>
      </c>
      <c r="F37" s="6">
        <v>221.43999999999997</v>
      </c>
    </row>
    <row r="38" spans="1:6" x14ac:dyDescent="0.25">
      <c r="B38" t="s">
        <v>6211</v>
      </c>
      <c r="C38" s="6">
        <v>299.07</v>
      </c>
      <c r="D38" s="6">
        <v>260.32499999999999</v>
      </c>
      <c r="E38" s="6">
        <v>584.64</v>
      </c>
      <c r="F38" s="6">
        <v>256.36500000000001</v>
      </c>
    </row>
    <row r="39" spans="1:6" x14ac:dyDescent="0.25">
      <c r="B39" t="s">
        <v>6212</v>
      </c>
      <c r="C39" s="6">
        <v>323.32499999999999</v>
      </c>
      <c r="D39" s="6">
        <v>565.57000000000005</v>
      </c>
      <c r="E39" s="6">
        <v>537.80999999999995</v>
      </c>
      <c r="F39" s="6">
        <v>189.47499999999999</v>
      </c>
    </row>
    <row r="40" spans="1:6" x14ac:dyDescent="0.25">
      <c r="B40" t="s">
        <v>6213</v>
      </c>
      <c r="C40" s="6">
        <v>399.48499999999996</v>
      </c>
      <c r="D40" s="6">
        <v>148.19999999999999</v>
      </c>
      <c r="E40" s="6">
        <v>388.21999999999997</v>
      </c>
      <c r="F40" s="6">
        <v>212.07499999999999</v>
      </c>
    </row>
    <row r="41" spans="1:6" x14ac:dyDescent="0.25">
      <c r="A41" t="s">
        <v>6201</v>
      </c>
      <c r="B41" t="s">
        <v>6202</v>
      </c>
      <c r="C41" s="6">
        <v>112.69499999999999</v>
      </c>
      <c r="D41" s="6">
        <v>166.32</v>
      </c>
      <c r="E41" s="6">
        <v>843.71499999999992</v>
      </c>
      <c r="F41" s="6">
        <v>146.685</v>
      </c>
    </row>
    <row r="42" spans="1:6" x14ac:dyDescent="0.25">
      <c r="B42" t="s">
        <v>6203</v>
      </c>
      <c r="C42" s="6">
        <v>114.87999999999998</v>
      </c>
      <c r="D42" s="6">
        <v>133.815</v>
      </c>
      <c r="E42" s="6">
        <v>91.175000000000011</v>
      </c>
      <c r="F42" s="6">
        <v>53.759999999999991</v>
      </c>
    </row>
    <row r="43" spans="1:6" x14ac:dyDescent="0.25">
      <c r="B43" t="s">
        <v>6204</v>
      </c>
      <c r="C43" s="6">
        <v>277.76</v>
      </c>
      <c r="D43" s="6">
        <v>175.41</v>
      </c>
      <c r="E43" s="6">
        <v>462.50999999999993</v>
      </c>
      <c r="F43" s="6">
        <v>399.52499999999998</v>
      </c>
    </row>
    <row r="44" spans="1:6" x14ac:dyDescent="0.25">
      <c r="B44" t="s">
        <v>6205</v>
      </c>
      <c r="C44" s="6">
        <v>197.89499999999998</v>
      </c>
      <c r="D44" s="6">
        <v>289.755</v>
      </c>
      <c r="E44" s="6">
        <v>88.545000000000002</v>
      </c>
      <c r="F44" s="6">
        <v>200.25499999999997</v>
      </c>
    </row>
    <row r="45" spans="1:6" x14ac:dyDescent="0.25">
      <c r="B45" t="s">
        <v>6206</v>
      </c>
      <c r="C45" s="6">
        <v>193.11499999999998</v>
      </c>
      <c r="D45" s="6">
        <v>212.49499999999998</v>
      </c>
      <c r="E45" s="6">
        <v>292.29000000000002</v>
      </c>
      <c r="F45" s="6">
        <v>304.46999999999997</v>
      </c>
    </row>
    <row r="46" spans="1:6" x14ac:dyDescent="0.25">
      <c r="B46" t="s">
        <v>6207</v>
      </c>
      <c r="C46" s="6">
        <v>179.79</v>
      </c>
      <c r="D46" s="6">
        <v>426.2</v>
      </c>
      <c r="E46" s="6">
        <v>170.08999999999997</v>
      </c>
      <c r="F46" s="6">
        <v>379.31</v>
      </c>
    </row>
    <row r="47" spans="1:6" x14ac:dyDescent="0.25">
      <c r="B47" t="s">
        <v>6208</v>
      </c>
      <c r="C47" s="6">
        <v>247.28999999999996</v>
      </c>
      <c r="D47" s="6">
        <v>246.685</v>
      </c>
      <c r="E47" s="6">
        <v>271.05499999999995</v>
      </c>
      <c r="F47" s="6">
        <v>141.69999999999999</v>
      </c>
    </row>
    <row r="48" spans="1:6" x14ac:dyDescent="0.25">
      <c r="B48" t="s">
        <v>6209</v>
      </c>
      <c r="C48" s="6">
        <v>116.39499999999998</v>
      </c>
      <c r="D48" s="6">
        <v>41.25</v>
      </c>
      <c r="E48" s="6">
        <v>15.54</v>
      </c>
      <c r="F48" s="6">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3C3B-3BC5-4CC8-9189-4F67324921CA}">
  <dimension ref="A3:B6"/>
  <sheetViews>
    <sheetView workbookViewId="0">
      <selection activeCell="F8" sqref="F8"/>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5"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D273A-AB11-402C-87B9-41480DA40850}">
  <dimension ref="A3:B8"/>
  <sheetViews>
    <sheetView workbookViewId="0">
      <selection activeCell="E7" sqref="E7"/>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5"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L3" sqref="L3"/>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6.7109375" customWidth="1"/>
    <col min="12" max="12" width="11.85546875" customWidth="1"/>
    <col min="13" max="13" width="9" bestFit="1" customWidth="1"/>
    <col min="14" max="14" width="19.5703125" customWidth="1"/>
    <col min="15" max="15" width="18.42578125" customWidth="1"/>
    <col min="16" max="16" width="14.5703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_xlfn.XLOOKUP(C2,customers!$A$1:$A$1001,customers!$C$1:$C$1001,,0)</f>
        <v>aallner0@lulu.com</v>
      </c>
      <c r="H2" s="2" t="str">
        <f>_xlfn.XLOOKUP(orders!C2,customers!$A$1:$A$1001,customers!$G$1:$G$1001,,0)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8">
        <f>INDEX(products!$A$1:$G$49,MATCH(orders!$D2,products!$A$1:$A$49,0),MATCH(orders!L$1,products!$A$1:$G$1,0))</f>
        <v>9.9499999999999993</v>
      </c>
      <c r="M2" s="9">
        <f>L2*E2</f>
        <v>19.899999999999999</v>
      </c>
      <c r="N2" t="str">
        <f>IF(I2="Rob","Robusta",IF(I2="exc","Excelsa",IF(I2="ara","Arabica",IF(I2="Lib","Liberica",""))))</f>
        <v>Robusta</v>
      </c>
      <c r="O2" t="str">
        <f>IF(J2="m","Mediium",IF(J2="l","Light",IF(J2="d","Dark","")))</f>
        <v>Mediium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c r="H3" s="2" t="str">
        <f>_xlfn.XLOOKUP(orders!C3,customers!$A$1:$A$1001,customers!$G$1:$G$1001,,0)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8">
        <f>INDEX(products!$A$1:$G$49,MATCH(orders!$D3,products!$A$1:$A$49,0),MATCH(orders!L$1,products!$A$1:$G$1,0))</f>
        <v>8.25</v>
      </c>
      <c r="M3" s="9">
        <f t="shared" ref="M3:M66" si="0">L3*E3</f>
        <v>41.25</v>
      </c>
      <c r="N3" t="str">
        <f t="shared" ref="N3:N66" si="1">IF(I3="Rob","Robusta",IF(I3="exc","Excelsa",IF(I3="ara","Arabica",IF(I3="Lib","Liberica",""))))</f>
        <v>Excelsa</v>
      </c>
      <c r="O3" t="str">
        <f t="shared" ref="O3:O66" si="2">IF(J3="m","Mediium",IF(J3="l","Light",IF(J3="d","Dark","")))</f>
        <v>Mediium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_xlfn.XLOOKUP(orders!C4,customers!$A$1:$A$1001,customers!$G$1:$G$1001,,0)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8">
        <f>INDEX(products!$A$1:$G$49,MATCH(orders!$D4,products!$A$1:$A$49,0),MATCH(orders!L$1,products!$A$1:$G$1,0))</f>
        <v>12.95</v>
      </c>
      <c r="M4" s="9">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_xlfn.XLOOKUP(orders!C5,customers!$A$1:$A$1001,customers!$G$1:$G$1001,,0)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8">
        <f>INDEX(products!$A$1:$G$49,MATCH(orders!$D5,products!$A$1:$A$49,0),MATCH(orders!L$1,products!$A$1:$G$1,0))</f>
        <v>13.75</v>
      </c>
      <c r="M5" s="9">
        <f t="shared" si="0"/>
        <v>27.5</v>
      </c>
      <c r="N5" t="str">
        <f t="shared" si="1"/>
        <v>Excelsa</v>
      </c>
      <c r="O5" t="str">
        <f t="shared" si="2"/>
        <v>Mediium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_xlfn.XLOOKUP(orders!C6,customers!$A$1:$A$1001,customers!$G$1:$G$1001,,0)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8">
        <f>INDEX(products!$A$1:$G$49,MATCH(orders!$D6,products!$A$1:$A$49,0),MATCH(orders!L$1,products!$A$1:$G$1,0))</f>
        <v>27.484999999999996</v>
      </c>
      <c r="M6" s="9">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_xlfn.XLOOKUP(orders!C7,customers!$A$1:$A$1001,customers!$G$1:$G$1001,,0)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8">
        <f>INDEX(products!$A$1:$G$49,MATCH(orders!$D7,products!$A$1:$A$49,0),MATCH(orders!L$1,products!$A$1:$G$1,0))</f>
        <v>12.95</v>
      </c>
      <c r="M7" s="9">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_xlfn.XLOOKUP(orders!C8,customers!$A$1:$A$1001,customers!$G$1:$G$1001,,0)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8">
        <f>INDEX(products!$A$1:$G$49,MATCH(orders!$D8,products!$A$1:$A$49,0),MATCH(orders!L$1,products!$A$1:$G$1,0))</f>
        <v>7.29</v>
      </c>
      <c r="M8" s="9">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_xlfn.XLOOKUP(orders!C9,customers!$A$1:$A$1001,customers!$G$1:$G$1001,,0)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8">
        <f>INDEX(products!$A$1:$G$49,MATCH(orders!$D9,products!$A$1:$A$49,0),MATCH(orders!L$1,products!$A$1:$G$1,0))</f>
        <v>4.7549999999999999</v>
      </c>
      <c r="M9" s="9">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_xlfn.XLOOKUP(orders!C10,customers!$A$1:$A$1001,customers!$G$1:$G$1001,,0)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8">
        <f>INDEX(products!$A$1:$G$49,MATCH(orders!$D10,products!$A$1:$A$49,0),MATCH(orders!L$1,products!$A$1:$G$1,0))</f>
        <v>5.97</v>
      </c>
      <c r="M10" s="9">
        <f t="shared" si="0"/>
        <v>17.91</v>
      </c>
      <c r="N10" t="str">
        <f t="shared" si="1"/>
        <v>Robusta</v>
      </c>
      <c r="O10" t="str">
        <f t="shared" si="2"/>
        <v>Mediium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_xlfn.XLOOKUP(orders!C11,customers!$A$1:$A$1001,customers!$G$1:$G$1001,,0)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8">
        <f>INDEX(products!$A$1:$G$49,MATCH(orders!$D11,products!$A$1:$A$49,0),MATCH(orders!L$1,products!$A$1:$G$1,0))</f>
        <v>5.97</v>
      </c>
      <c r="M11" s="9">
        <f t="shared" si="0"/>
        <v>5.97</v>
      </c>
      <c r="N11" t="str">
        <f t="shared" si="1"/>
        <v>Robusta</v>
      </c>
      <c r="O11" t="str">
        <f t="shared" si="2"/>
        <v>Mediium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_xlfn.XLOOKUP(orders!C12,customers!$A$1:$A$1001,customers!$G$1:$G$1001,,0)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8">
        <f>INDEX(products!$A$1:$G$49,MATCH(orders!$D12,products!$A$1:$A$49,0),MATCH(orders!L$1,products!$A$1:$G$1,0))</f>
        <v>9.9499999999999993</v>
      </c>
      <c r="M12" s="9">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_xlfn.XLOOKUP(orders!C13,customers!$A$1:$A$1001,customers!$G$1:$G$1001,,0)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8">
        <f>INDEX(products!$A$1:$G$49,MATCH(orders!$D13,products!$A$1:$A$49,0),MATCH(orders!L$1,products!$A$1:$G$1,0))</f>
        <v>34.154999999999994</v>
      </c>
      <c r="M13" s="9">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_xlfn.XLOOKUP(orders!C14,customers!$A$1:$A$1001,customers!$G$1:$G$1001,,0)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8">
        <f>INDEX(products!$A$1:$G$49,MATCH(orders!$D14,products!$A$1:$A$49,0),MATCH(orders!L$1,products!$A$1:$G$1,0))</f>
        <v>9.9499999999999993</v>
      </c>
      <c r="M14" s="9">
        <f t="shared" si="0"/>
        <v>49.75</v>
      </c>
      <c r="N14" t="str">
        <f t="shared" si="1"/>
        <v>Robusta</v>
      </c>
      <c r="O14" t="str">
        <f t="shared" si="2"/>
        <v>Mediium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_xlfn.XLOOKUP(orders!C15,customers!$A$1:$A$1001,customers!$G$1:$G$1001,,0)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8">
        <f>INDEX(products!$A$1:$G$49,MATCH(orders!$D15,products!$A$1:$A$49,0),MATCH(orders!L$1,products!$A$1:$G$1,0))</f>
        <v>20.584999999999997</v>
      </c>
      <c r="M15" s="9">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_xlfn.XLOOKUP(orders!C16,customers!$A$1:$A$1001,customers!$G$1:$G$1001,,0)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8">
        <f>INDEX(products!$A$1:$G$49,MATCH(orders!$D16,products!$A$1:$A$49,0),MATCH(orders!L$1,products!$A$1:$G$1,0))</f>
        <v>3.8849999999999998</v>
      </c>
      <c r="M16" s="9">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_xlfn.XLOOKUP(orders!C17,customers!$A$1:$A$1001,customers!$G$1:$G$1001,,0)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8">
        <f>INDEX(products!$A$1:$G$49,MATCH(orders!$D17,products!$A$1:$A$49,0),MATCH(orders!L$1,products!$A$1:$G$1,0))</f>
        <v>22.884999999999998</v>
      </c>
      <c r="M17" s="9">
        <f t="shared" si="0"/>
        <v>114.42499999999998</v>
      </c>
      <c r="N17" t="str">
        <f t="shared" si="1"/>
        <v>Robusta</v>
      </c>
      <c r="O17" t="str">
        <f t="shared" si="2"/>
        <v>Mediium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_xlfn.XLOOKUP(orders!C18,customers!$A$1:$A$1001,customers!$G$1:$G$1001,,0)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8">
        <f>INDEX(products!$A$1:$G$49,MATCH(orders!$D18,products!$A$1:$A$49,0),MATCH(orders!L$1,products!$A$1:$G$1,0))</f>
        <v>3.375</v>
      </c>
      <c r="M18" s="9">
        <f t="shared" si="0"/>
        <v>20.25</v>
      </c>
      <c r="N18" t="str">
        <f t="shared" si="1"/>
        <v>Arabica</v>
      </c>
      <c r="O18" t="str">
        <f t="shared" si="2"/>
        <v>Mediium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_xlfn.XLOOKUP(orders!C19,customers!$A$1:$A$1001,customers!$G$1:$G$1001,,0)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8">
        <f>INDEX(products!$A$1:$G$49,MATCH(orders!$D19,products!$A$1:$A$49,0),MATCH(orders!L$1,products!$A$1:$G$1,0))</f>
        <v>12.95</v>
      </c>
      <c r="M19" s="9">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_xlfn.XLOOKUP(orders!C20,customers!$A$1:$A$1001,customers!$G$1:$G$1001,,0)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8">
        <f>INDEX(products!$A$1:$G$49,MATCH(orders!$D20,products!$A$1:$A$49,0),MATCH(orders!L$1,products!$A$1:$G$1,0))</f>
        <v>20.584999999999997</v>
      </c>
      <c r="M20" s="9">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_xlfn.XLOOKUP(orders!C21,customers!$A$1:$A$1001,customers!$G$1:$G$1001,,0)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8">
        <f>INDEX(products!$A$1:$G$49,MATCH(orders!$D21,products!$A$1:$A$49,0),MATCH(orders!L$1,products!$A$1:$G$1,0))</f>
        <v>3.375</v>
      </c>
      <c r="M21" s="9">
        <f t="shared" si="0"/>
        <v>16.875</v>
      </c>
      <c r="N21" t="str">
        <f t="shared" si="1"/>
        <v>Arabica</v>
      </c>
      <c r="O21" t="str">
        <f t="shared" si="2"/>
        <v>Mediium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_xlfn.XLOOKUP(orders!C22,customers!$A$1:$A$1001,customers!$G$1:$G$1001,,0)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8">
        <f>INDEX(products!$A$1:$G$49,MATCH(orders!$D22,products!$A$1:$A$49,0),MATCH(orders!L$1,products!$A$1:$G$1,0))</f>
        <v>3.645</v>
      </c>
      <c r="M22" s="9">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_xlfn.XLOOKUP(orders!C23,customers!$A$1:$A$1001,customers!$G$1:$G$1001,,0)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8">
        <f>INDEX(products!$A$1:$G$49,MATCH(orders!$D23,products!$A$1:$A$49,0),MATCH(orders!L$1,products!$A$1:$G$1,0))</f>
        <v>2.9849999999999999</v>
      </c>
      <c r="M23" s="9">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_xlfn.XLOOKUP(orders!C24,customers!$A$1:$A$1001,customers!$G$1:$G$1001,,0)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8">
        <f>INDEX(products!$A$1:$G$49,MATCH(orders!$D24,products!$A$1:$A$49,0),MATCH(orders!L$1,products!$A$1:$G$1,0))</f>
        <v>22.884999999999998</v>
      </c>
      <c r="M24" s="9">
        <f t="shared" si="0"/>
        <v>91.539999999999992</v>
      </c>
      <c r="N24" t="str">
        <f t="shared" si="1"/>
        <v>Robusta</v>
      </c>
      <c r="O24" t="str">
        <f t="shared" si="2"/>
        <v>Mediium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_xlfn.XLOOKUP(orders!C25,customers!$A$1:$A$1001,customers!$G$1:$G$1001,,0)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8">
        <f>INDEX(products!$A$1:$G$49,MATCH(orders!$D25,products!$A$1:$A$49,0),MATCH(orders!L$1,products!$A$1:$G$1,0))</f>
        <v>2.9849999999999999</v>
      </c>
      <c r="M25" s="9">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_xlfn.XLOOKUP(orders!C26,customers!$A$1:$A$1001,customers!$G$1:$G$1001,,0)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8">
        <f>INDEX(products!$A$1:$G$49,MATCH(orders!$D26,products!$A$1:$A$49,0),MATCH(orders!L$1,products!$A$1:$G$1,0))</f>
        <v>11.25</v>
      </c>
      <c r="M26" s="9">
        <f t="shared" si="0"/>
        <v>11.25</v>
      </c>
      <c r="N26" t="str">
        <f t="shared" si="1"/>
        <v>Arabica</v>
      </c>
      <c r="O26" t="str">
        <f t="shared" si="2"/>
        <v>Mediium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_xlfn.XLOOKUP(orders!C27,customers!$A$1:$A$1001,customers!$G$1:$G$1001,,0)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8">
        <f>INDEX(products!$A$1:$G$49,MATCH(orders!$D27,products!$A$1:$A$49,0),MATCH(orders!L$1,products!$A$1:$G$1,0))</f>
        <v>4.125</v>
      </c>
      <c r="M27" s="9">
        <f t="shared" si="0"/>
        <v>12.375</v>
      </c>
      <c r="N27" t="str">
        <f t="shared" si="1"/>
        <v>Excelsa</v>
      </c>
      <c r="O27" t="str">
        <f t="shared" si="2"/>
        <v>Mediium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_xlfn.XLOOKUP(orders!C28,customers!$A$1:$A$1001,customers!$G$1:$G$1001,,0)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8">
        <f>INDEX(products!$A$1:$G$49,MATCH(orders!$D28,products!$A$1:$A$49,0),MATCH(orders!L$1,products!$A$1:$G$1,0))</f>
        <v>6.75</v>
      </c>
      <c r="M28" s="9">
        <f t="shared" si="0"/>
        <v>27</v>
      </c>
      <c r="N28" t="str">
        <f t="shared" si="1"/>
        <v>Arabica</v>
      </c>
      <c r="O28" t="str">
        <f t="shared" si="2"/>
        <v>Mediium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_xlfn.XLOOKUP(orders!C29,customers!$A$1:$A$1001,customers!$G$1:$G$1001,,0)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8">
        <f>INDEX(products!$A$1:$G$49,MATCH(orders!$D29,products!$A$1:$A$49,0),MATCH(orders!L$1,products!$A$1:$G$1,0))</f>
        <v>3.375</v>
      </c>
      <c r="M29" s="9">
        <f t="shared" si="0"/>
        <v>16.875</v>
      </c>
      <c r="N29" t="str">
        <f t="shared" si="1"/>
        <v>Arabica</v>
      </c>
      <c r="O29" t="str">
        <f t="shared" si="2"/>
        <v>Mediium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_xlfn.XLOOKUP(orders!C30,customers!$A$1:$A$1001,customers!$G$1:$G$1001,,0)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8">
        <f>INDEX(products!$A$1:$G$49,MATCH(orders!$D30,products!$A$1:$A$49,0),MATCH(orders!L$1,products!$A$1:$G$1,0))</f>
        <v>5.97</v>
      </c>
      <c r="M30" s="9">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_xlfn.XLOOKUP(orders!C31,customers!$A$1:$A$1001,customers!$G$1:$G$1001,,0)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8">
        <f>INDEX(products!$A$1:$G$49,MATCH(orders!$D31,products!$A$1:$A$49,0),MATCH(orders!L$1,products!$A$1:$G$1,0))</f>
        <v>9.9499999999999993</v>
      </c>
      <c r="M31" s="9">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_xlfn.XLOOKUP(orders!C32,customers!$A$1:$A$1001,customers!$G$1:$G$1001,,0)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8">
        <f>INDEX(products!$A$1:$G$49,MATCH(orders!$D32,products!$A$1:$A$49,0),MATCH(orders!L$1,products!$A$1:$G$1,0))</f>
        <v>4.3650000000000002</v>
      </c>
      <c r="M32" s="9">
        <f t="shared" si="0"/>
        <v>21.825000000000003</v>
      </c>
      <c r="N32" t="str">
        <f t="shared" si="1"/>
        <v>Liberica</v>
      </c>
      <c r="O32" t="str">
        <f t="shared" si="2"/>
        <v>Mediium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_xlfn.XLOOKUP(orders!C33,customers!$A$1:$A$1001,customers!$G$1:$G$1001,,0)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8">
        <f>INDEX(products!$A$1:$G$49,MATCH(orders!$D33,products!$A$1:$A$49,0),MATCH(orders!L$1,products!$A$1:$G$1,0))</f>
        <v>5.97</v>
      </c>
      <c r="M33" s="9">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_xlfn.XLOOKUP(orders!C34,customers!$A$1:$A$1001,customers!$G$1:$G$1001,,0)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8">
        <f>INDEX(products!$A$1:$G$49,MATCH(orders!$D34,products!$A$1:$A$49,0),MATCH(orders!L$1,products!$A$1:$G$1,0))</f>
        <v>8.73</v>
      </c>
      <c r="M34" s="9">
        <f t="shared" si="0"/>
        <v>52.38</v>
      </c>
      <c r="N34" t="str">
        <f t="shared" si="1"/>
        <v>Liberica</v>
      </c>
      <c r="O34" t="str">
        <f t="shared" si="2"/>
        <v>Mediium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_xlfn.XLOOKUP(orders!C35,customers!$A$1:$A$1001,customers!$G$1:$G$1001,,0)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8">
        <f>INDEX(products!$A$1:$G$49,MATCH(orders!$D35,products!$A$1:$A$49,0),MATCH(orders!L$1,products!$A$1:$G$1,0))</f>
        <v>4.7549999999999999</v>
      </c>
      <c r="M35" s="9">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_xlfn.XLOOKUP(orders!C36,customers!$A$1:$A$1001,customers!$G$1:$G$1001,,0)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8">
        <f>INDEX(products!$A$1:$G$49,MATCH(orders!$D36,products!$A$1:$A$49,0),MATCH(orders!L$1,products!$A$1:$G$1,0))</f>
        <v>9.51</v>
      </c>
      <c r="M36" s="9">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_xlfn.XLOOKUP(orders!C37,customers!$A$1:$A$1001,customers!$G$1:$G$1001,,0)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8">
        <f>INDEX(products!$A$1:$G$49,MATCH(orders!$D37,products!$A$1:$A$49,0),MATCH(orders!L$1,products!$A$1:$G$1,0))</f>
        <v>5.97</v>
      </c>
      <c r="M37" s="9">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_xlfn.XLOOKUP(orders!C38,customers!$A$1:$A$1001,customers!$G$1:$G$1001,,0)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8">
        <f>INDEX(products!$A$1:$G$49,MATCH(orders!$D38,products!$A$1:$A$49,0),MATCH(orders!L$1,products!$A$1:$G$1,0))</f>
        <v>4.3650000000000002</v>
      </c>
      <c r="M38" s="9">
        <f t="shared" si="0"/>
        <v>8.73</v>
      </c>
      <c r="N38" t="str">
        <f t="shared" si="1"/>
        <v>Liberica</v>
      </c>
      <c r="O38" t="str">
        <f t="shared" si="2"/>
        <v>Mediium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_xlfn.XLOOKUP(orders!C39,customers!$A$1:$A$1001,customers!$G$1:$G$1001,,0)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8">
        <f>INDEX(products!$A$1:$G$49,MATCH(orders!$D39,products!$A$1:$A$49,0),MATCH(orders!L$1,products!$A$1:$G$1,0))</f>
        <v>9.51</v>
      </c>
      <c r="M39" s="9">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_xlfn.XLOOKUP(orders!C40,customers!$A$1:$A$1001,customers!$G$1:$G$1001,,0)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8">
        <f>INDEX(products!$A$1:$G$49,MATCH(orders!$D40,products!$A$1:$A$49,0),MATCH(orders!L$1,products!$A$1:$G$1,0))</f>
        <v>22.884999999999998</v>
      </c>
      <c r="M40" s="9">
        <f t="shared" si="0"/>
        <v>114.42499999999998</v>
      </c>
      <c r="N40" t="str">
        <f t="shared" si="1"/>
        <v>Robusta</v>
      </c>
      <c r="O40" t="str">
        <f t="shared" si="2"/>
        <v>Mediium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_xlfn.XLOOKUP(orders!C41,customers!$A$1:$A$1001,customers!$G$1:$G$1001,,0)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8">
        <f>INDEX(products!$A$1:$G$49,MATCH(orders!$D41,products!$A$1:$A$49,0),MATCH(orders!L$1,products!$A$1:$G$1,0))</f>
        <v>9.9499999999999993</v>
      </c>
      <c r="M41" s="9">
        <f t="shared" si="0"/>
        <v>59.699999999999996</v>
      </c>
      <c r="N41" t="str">
        <f t="shared" si="1"/>
        <v>Robusta</v>
      </c>
      <c r="O41" t="str">
        <f t="shared" si="2"/>
        <v>Mediium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_xlfn.XLOOKUP(orders!C42,customers!$A$1:$A$1001,customers!$G$1:$G$1001,,0)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8">
        <f>INDEX(products!$A$1:$G$49,MATCH(orders!$D42,products!$A$1:$A$49,0),MATCH(orders!L$1,products!$A$1:$G$1,0))</f>
        <v>14.55</v>
      </c>
      <c r="M42" s="9">
        <f t="shared" si="0"/>
        <v>43.650000000000006</v>
      </c>
      <c r="N42" t="str">
        <f t="shared" si="1"/>
        <v>Liberica</v>
      </c>
      <c r="O42" t="str">
        <f t="shared" si="2"/>
        <v>Mediium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_xlfn.XLOOKUP(orders!C43,customers!$A$1:$A$1001,customers!$G$1:$G$1001,,0)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8">
        <f>INDEX(products!$A$1:$G$49,MATCH(orders!$D43,products!$A$1:$A$49,0),MATCH(orders!L$1,products!$A$1:$G$1,0))</f>
        <v>3.645</v>
      </c>
      <c r="M43" s="9">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_xlfn.XLOOKUP(orders!C44,customers!$A$1:$A$1001,customers!$G$1:$G$1001,,0)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8">
        <f>INDEX(products!$A$1:$G$49,MATCH(orders!$D44,products!$A$1:$A$49,0),MATCH(orders!L$1,products!$A$1:$G$1,0))</f>
        <v>2.6849999999999996</v>
      </c>
      <c r="M44" s="9">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_xlfn.XLOOKUP(orders!C45,customers!$A$1:$A$1001,customers!$G$1:$G$1001,,0)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8">
        <f>INDEX(products!$A$1:$G$49,MATCH(orders!$D45,products!$A$1:$A$49,0),MATCH(orders!L$1,products!$A$1:$G$1,0))</f>
        <v>36.454999999999998</v>
      </c>
      <c r="M45" s="9">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_xlfn.XLOOKUP(orders!C46,customers!$A$1:$A$1001,customers!$G$1:$G$1001,,0)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8">
        <f>INDEX(products!$A$1:$G$49,MATCH(orders!$D46,products!$A$1:$A$49,0),MATCH(orders!L$1,products!$A$1:$G$1,0))</f>
        <v>8.25</v>
      </c>
      <c r="M46" s="9">
        <f t="shared" si="0"/>
        <v>16.5</v>
      </c>
      <c r="N46" t="str">
        <f t="shared" si="1"/>
        <v>Excelsa</v>
      </c>
      <c r="O46" t="str">
        <f t="shared" si="2"/>
        <v>Mediium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_xlfn.XLOOKUP(orders!C47,customers!$A$1:$A$1001,customers!$G$1:$G$1001,,0)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8">
        <f>INDEX(products!$A$1:$G$49,MATCH(orders!$D47,products!$A$1:$A$49,0),MATCH(orders!L$1,products!$A$1:$G$1,0))</f>
        <v>29.784999999999997</v>
      </c>
      <c r="M47" s="9">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_xlfn.XLOOKUP(orders!C48,customers!$A$1:$A$1001,customers!$G$1:$G$1001,,0)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8">
        <f>INDEX(products!$A$1:$G$49,MATCH(orders!$D48,products!$A$1:$A$49,0),MATCH(orders!L$1,products!$A$1:$G$1,0))</f>
        <v>31.624999999999996</v>
      </c>
      <c r="M48" s="9">
        <f t="shared" si="0"/>
        <v>63.249999999999993</v>
      </c>
      <c r="N48" t="str">
        <f t="shared" si="1"/>
        <v>Excelsa</v>
      </c>
      <c r="O48" t="str">
        <f t="shared" si="2"/>
        <v>Mediium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_xlfn.XLOOKUP(orders!C49,customers!$A$1:$A$1001,customers!$G$1:$G$1001,,0)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8">
        <f>INDEX(products!$A$1:$G$49,MATCH(orders!$D49,products!$A$1:$A$49,0),MATCH(orders!L$1,products!$A$1:$G$1,0))</f>
        <v>3.8849999999999998</v>
      </c>
      <c r="M49" s="9">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_xlfn.XLOOKUP(orders!C50,customers!$A$1:$A$1001,customers!$G$1:$G$1001,,0)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8">
        <f>INDEX(products!$A$1:$G$49,MATCH(orders!$D50,products!$A$1:$A$49,0),MATCH(orders!L$1,products!$A$1:$G$1,0))</f>
        <v>22.884999999999998</v>
      </c>
      <c r="M50" s="9">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_xlfn.XLOOKUP(orders!C51,customers!$A$1:$A$1001,customers!$G$1:$G$1001,,0)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8">
        <f>INDEX(products!$A$1:$G$49,MATCH(orders!$D51,products!$A$1:$A$49,0),MATCH(orders!L$1,products!$A$1:$G$1,0))</f>
        <v>12.95</v>
      </c>
      <c r="M51" s="9">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_xlfn.XLOOKUP(orders!C52,customers!$A$1:$A$1001,customers!$G$1:$G$1001,,0)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8">
        <f>INDEX(products!$A$1:$G$49,MATCH(orders!$D52,products!$A$1:$A$49,0),MATCH(orders!L$1,products!$A$1:$G$1,0))</f>
        <v>7.77</v>
      </c>
      <c r="M52" s="9">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_xlfn.XLOOKUP(orders!C53,customers!$A$1:$A$1001,customers!$G$1:$G$1001,,0)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8">
        <f>INDEX(products!$A$1:$G$49,MATCH(orders!$D53,products!$A$1:$A$49,0),MATCH(orders!L$1,products!$A$1:$G$1,0))</f>
        <v>36.454999999999998</v>
      </c>
      <c r="M53" s="9">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_xlfn.XLOOKUP(orders!C54,customers!$A$1:$A$1001,customers!$G$1:$G$1001,,0)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8">
        <f>INDEX(products!$A$1:$G$49,MATCH(orders!$D54,products!$A$1:$A$49,0),MATCH(orders!L$1,products!$A$1:$G$1,0))</f>
        <v>5.97</v>
      </c>
      <c r="M54" s="9">
        <f t="shared" si="0"/>
        <v>29.849999999999998</v>
      </c>
      <c r="N54" t="str">
        <f t="shared" si="1"/>
        <v>Robusta</v>
      </c>
      <c r="O54" t="str">
        <f t="shared" si="2"/>
        <v>Mediium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_xlfn.XLOOKUP(orders!C55,customers!$A$1:$A$1001,customers!$G$1:$G$1001,,0)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8">
        <f>INDEX(products!$A$1:$G$49,MATCH(orders!$D55,products!$A$1:$A$49,0),MATCH(orders!L$1,products!$A$1:$G$1,0))</f>
        <v>36.454999999999998</v>
      </c>
      <c r="M55" s="9">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_xlfn.XLOOKUP(orders!C56,customers!$A$1:$A$1001,customers!$G$1:$G$1001,,0)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8">
        <f>INDEX(products!$A$1:$G$49,MATCH(orders!$D56,products!$A$1:$A$49,0),MATCH(orders!L$1,products!$A$1:$G$1,0))</f>
        <v>14.55</v>
      </c>
      <c r="M56" s="9">
        <f t="shared" si="0"/>
        <v>72.75</v>
      </c>
      <c r="N56" t="str">
        <f t="shared" si="1"/>
        <v>Liberica</v>
      </c>
      <c r="O56" t="str">
        <f t="shared" si="2"/>
        <v>Mediium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_xlfn.XLOOKUP(orders!C57,customers!$A$1:$A$1001,customers!$G$1:$G$1001,,0)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8">
        <f>INDEX(products!$A$1:$G$49,MATCH(orders!$D57,products!$A$1:$A$49,0),MATCH(orders!L$1,products!$A$1:$G$1,0))</f>
        <v>15.85</v>
      </c>
      <c r="M57" s="9">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_xlfn.XLOOKUP(orders!C58,customers!$A$1:$A$1001,customers!$G$1:$G$1001,,0)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8">
        <f>INDEX(products!$A$1:$G$49,MATCH(orders!$D58,products!$A$1:$A$49,0),MATCH(orders!L$1,products!$A$1:$G$1,0))</f>
        <v>3.645</v>
      </c>
      <c r="M58" s="9">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_xlfn.XLOOKUP(orders!C59,customers!$A$1:$A$1001,customers!$G$1:$G$1001,,0)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8">
        <f>INDEX(products!$A$1:$G$49,MATCH(orders!$D59,products!$A$1:$A$49,0),MATCH(orders!L$1,products!$A$1:$G$1,0))</f>
        <v>14.85</v>
      </c>
      <c r="M59" s="9">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_xlfn.XLOOKUP(orders!C60,customers!$A$1:$A$1001,customers!$G$1:$G$1001,,0)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8">
        <f>INDEX(products!$A$1:$G$49,MATCH(orders!$D60,products!$A$1:$A$49,0),MATCH(orders!L$1,products!$A$1:$G$1,0))</f>
        <v>29.784999999999997</v>
      </c>
      <c r="M60" s="9">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_xlfn.XLOOKUP(orders!C61,customers!$A$1:$A$1001,customers!$G$1:$G$1001,,0)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8">
        <f>INDEX(products!$A$1:$G$49,MATCH(orders!$D61,products!$A$1:$A$49,0),MATCH(orders!L$1,products!$A$1:$G$1,0))</f>
        <v>8.73</v>
      </c>
      <c r="M61" s="9">
        <f t="shared" si="0"/>
        <v>26.19</v>
      </c>
      <c r="N61" t="str">
        <f t="shared" si="1"/>
        <v>Liberica</v>
      </c>
      <c r="O61" t="str">
        <f t="shared" si="2"/>
        <v>Mediium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_xlfn.XLOOKUP(orders!C62,customers!$A$1:$A$1001,customers!$G$1:$G$1001,,0)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8">
        <f>INDEX(products!$A$1:$G$49,MATCH(orders!$D62,products!$A$1:$A$49,0),MATCH(orders!L$1,products!$A$1:$G$1,0))</f>
        <v>22.884999999999998</v>
      </c>
      <c r="M62" s="9">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_xlfn.XLOOKUP(orders!C63,customers!$A$1:$A$1001,customers!$G$1:$G$1001,,0)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8">
        <f>INDEX(products!$A$1:$G$49,MATCH(orders!$D63,products!$A$1:$A$49,0),MATCH(orders!L$1,products!$A$1:$G$1,0))</f>
        <v>5.3699999999999992</v>
      </c>
      <c r="M63" s="9">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_xlfn.XLOOKUP(orders!C64,customers!$A$1:$A$1001,customers!$G$1:$G$1001,,0)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8">
        <f>INDEX(products!$A$1:$G$49,MATCH(orders!$D64,products!$A$1:$A$49,0),MATCH(orders!L$1,products!$A$1:$G$1,0))</f>
        <v>4.7549999999999999</v>
      </c>
      <c r="M64" s="9">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_xlfn.XLOOKUP(orders!C65,customers!$A$1:$A$1001,customers!$G$1:$G$1001,,0)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8">
        <f>INDEX(products!$A$1:$G$49,MATCH(orders!$D65,products!$A$1:$A$49,0),MATCH(orders!L$1,products!$A$1:$G$1,0))</f>
        <v>6.75</v>
      </c>
      <c r="M65" s="9">
        <f t="shared" si="0"/>
        <v>6.75</v>
      </c>
      <c r="N65" t="str">
        <f t="shared" si="1"/>
        <v>Arabica</v>
      </c>
      <c r="O65" t="str">
        <f t="shared" si="2"/>
        <v>Mediium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_xlfn.XLOOKUP(orders!C66,customers!$A$1:$A$1001,customers!$G$1:$G$1001,,0)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8">
        <f>INDEX(products!$A$1:$G$49,MATCH(orders!$D66,products!$A$1:$A$49,0),MATCH(orders!L$1,products!$A$1:$G$1,0))</f>
        <v>5.97</v>
      </c>
      <c r="M66" s="9">
        <f t="shared" si="0"/>
        <v>35.82</v>
      </c>
      <c r="N66" t="str">
        <f t="shared" si="1"/>
        <v>Robusta</v>
      </c>
      <c r="O66" t="str">
        <f t="shared" si="2"/>
        <v>Mediium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_xlfn.XLOOKUP(orders!C67,customers!$A$1:$A$1001,customers!$G$1:$G$1001,,0)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8">
        <f>INDEX(products!$A$1:$G$49,MATCH(orders!$D67,products!$A$1:$A$49,0),MATCH(orders!L$1,products!$A$1:$G$1,0))</f>
        <v>20.584999999999997</v>
      </c>
      <c r="M67" s="9">
        <f t="shared" ref="M67:M130" si="3">L67*E67</f>
        <v>82.339999999999989</v>
      </c>
      <c r="N67" t="str">
        <f t="shared" ref="N67:N130" si="4">IF(I67="Rob","Robusta",IF(I67="exc","Excelsa",IF(I67="ara","Arabica",IF(I67="Lib","Liberica",""))))</f>
        <v>Robusta</v>
      </c>
      <c r="O67" t="str">
        <f t="shared" ref="O67:O130" si="5">IF(J67="m","Mediium",IF(J67="l","Light",IF(J67="d","Dark","")))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_xlfn.XLOOKUP(orders!C68,customers!$A$1:$A$1001,customers!$G$1:$G$1001,,0)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8">
        <f>INDEX(products!$A$1:$G$49,MATCH(orders!$D68,products!$A$1:$A$49,0),MATCH(orders!L$1,products!$A$1:$G$1,0))</f>
        <v>7.169999999999999</v>
      </c>
      <c r="M68" s="9">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_xlfn.XLOOKUP(orders!C69,customers!$A$1:$A$1001,customers!$G$1:$G$1001,,0)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8">
        <f>INDEX(products!$A$1:$G$49,MATCH(orders!$D69,products!$A$1:$A$49,0),MATCH(orders!L$1,products!$A$1:$G$1,0))</f>
        <v>4.7549999999999999</v>
      </c>
      <c r="M69" s="9">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_xlfn.XLOOKUP(orders!C70,customers!$A$1:$A$1001,customers!$G$1:$G$1001,,0)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8">
        <f>INDEX(products!$A$1:$G$49,MATCH(orders!$D70,products!$A$1:$A$49,0),MATCH(orders!L$1,products!$A$1:$G$1,0))</f>
        <v>2.9849999999999999</v>
      </c>
      <c r="M70" s="9">
        <f t="shared" si="3"/>
        <v>2.9849999999999999</v>
      </c>
      <c r="N70" t="str">
        <f t="shared" si="4"/>
        <v>Robusta</v>
      </c>
      <c r="O70" t="str">
        <f t="shared" si="5"/>
        <v>Mediium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_xlfn.XLOOKUP(orders!C71,customers!$A$1:$A$1001,customers!$G$1:$G$1001,,0)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8">
        <f>INDEX(products!$A$1:$G$49,MATCH(orders!$D71,products!$A$1:$A$49,0),MATCH(orders!L$1,products!$A$1:$G$1,0))</f>
        <v>9.9499999999999993</v>
      </c>
      <c r="M71" s="9">
        <f t="shared" si="3"/>
        <v>59.699999999999996</v>
      </c>
      <c r="N71" t="str">
        <f t="shared" si="4"/>
        <v>Robusta</v>
      </c>
      <c r="O71" t="str">
        <f t="shared" si="5"/>
        <v>Mediium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_xlfn.XLOOKUP(orders!C72,customers!$A$1:$A$1001,customers!$G$1:$G$1001,,0)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8">
        <f>INDEX(products!$A$1:$G$49,MATCH(orders!$D72,products!$A$1:$A$49,0),MATCH(orders!L$1,products!$A$1:$G$1,0))</f>
        <v>34.154999999999994</v>
      </c>
      <c r="M72" s="9">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_xlfn.XLOOKUP(orders!C73,customers!$A$1:$A$1001,customers!$G$1:$G$1001,,0)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8">
        <f>INDEX(products!$A$1:$G$49,MATCH(orders!$D73,products!$A$1:$A$49,0),MATCH(orders!L$1,products!$A$1:$G$1,0))</f>
        <v>4.7549999999999999</v>
      </c>
      <c r="M73" s="9">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_xlfn.XLOOKUP(orders!C74,customers!$A$1:$A$1001,customers!$G$1:$G$1001,,0)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8">
        <f>INDEX(products!$A$1:$G$49,MATCH(orders!$D74,products!$A$1:$A$49,0),MATCH(orders!L$1,products!$A$1:$G$1,0))</f>
        <v>25.874999999999996</v>
      </c>
      <c r="M74" s="9">
        <f t="shared" si="3"/>
        <v>77.624999999999986</v>
      </c>
      <c r="N74" t="str">
        <f t="shared" si="4"/>
        <v>Arabica</v>
      </c>
      <c r="O74" t="str">
        <f t="shared" si="5"/>
        <v>Mediium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_xlfn.XLOOKUP(orders!C75,customers!$A$1:$A$1001,customers!$G$1:$G$1001,,0)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8">
        <f>INDEX(products!$A$1:$G$49,MATCH(orders!$D75,products!$A$1:$A$49,0),MATCH(orders!L$1,products!$A$1:$G$1,0))</f>
        <v>4.3650000000000002</v>
      </c>
      <c r="M75" s="9">
        <f t="shared" si="3"/>
        <v>21.825000000000003</v>
      </c>
      <c r="N75" t="str">
        <f t="shared" si="4"/>
        <v>Liberica</v>
      </c>
      <c r="O75" t="str">
        <f t="shared" si="5"/>
        <v>Mediium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_xlfn.XLOOKUP(orders!C76,customers!$A$1:$A$1001,customers!$G$1:$G$1001,,0)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8">
        <f>INDEX(products!$A$1:$G$49,MATCH(orders!$D76,products!$A$1:$A$49,0),MATCH(orders!L$1,products!$A$1:$G$1,0))</f>
        <v>8.91</v>
      </c>
      <c r="M76" s="9">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_xlfn.XLOOKUP(orders!C77,customers!$A$1:$A$1001,customers!$G$1:$G$1001,,0)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8">
        <f>INDEX(products!$A$1:$G$49,MATCH(orders!$D77,products!$A$1:$A$49,0),MATCH(orders!L$1,products!$A$1:$G$1,0))</f>
        <v>8.9499999999999993</v>
      </c>
      <c r="M77" s="9">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_xlfn.XLOOKUP(orders!C78,customers!$A$1:$A$1001,customers!$G$1:$G$1001,,0)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8">
        <f>INDEX(products!$A$1:$G$49,MATCH(orders!$D78,products!$A$1:$A$49,0),MATCH(orders!L$1,products!$A$1:$G$1,0))</f>
        <v>3.5849999999999995</v>
      </c>
      <c r="M78" s="9">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_xlfn.XLOOKUP(orders!C79,customers!$A$1:$A$1001,customers!$G$1:$G$1001,,0)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8">
        <f>INDEX(products!$A$1:$G$49,MATCH(orders!$D79,products!$A$1:$A$49,0),MATCH(orders!L$1,products!$A$1:$G$1,0))</f>
        <v>3.645</v>
      </c>
      <c r="M79" s="9">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_xlfn.XLOOKUP(orders!C80,customers!$A$1:$A$1001,customers!$G$1:$G$1001,,0)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8">
        <f>INDEX(products!$A$1:$G$49,MATCH(orders!$D80,products!$A$1:$A$49,0),MATCH(orders!L$1,products!$A$1:$G$1,0))</f>
        <v>6.75</v>
      </c>
      <c r="M80" s="9">
        <f t="shared" si="3"/>
        <v>40.5</v>
      </c>
      <c r="N80" t="str">
        <f t="shared" si="4"/>
        <v>Arabica</v>
      </c>
      <c r="O80" t="str">
        <f t="shared" si="5"/>
        <v>Mediium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_xlfn.XLOOKUP(orders!C81,customers!$A$1:$A$1001,customers!$G$1:$G$1001,,0)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8">
        <f>INDEX(products!$A$1:$G$49,MATCH(orders!$D81,products!$A$1:$A$49,0),MATCH(orders!L$1,products!$A$1:$G$1,0))</f>
        <v>11.95</v>
      </c>
      <c r="M81" s="9">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_xlfn.XLOOKUP(orders!C82,customers!$A$1:$A$1001,customers!$G$1:$G$1001,,0)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8">
        <f>INDEX(products!$A$1:$G$49,MATCH(orders!$D82,products!$A$1:$A$49,0),MATCH(orders!L$1,products!$A$1:$G$1,0))</f>
        <v>7.77</v>
      </c>
      <c r="M82" s="9">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_xlfn.XLOOKUP(orders!C83,customers!$A$1:$A$1001,customers!$G$1:$G$1001,,0)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8">
        <f>INDEX(products!$A$1:$G$49,MATCH(orders!$D83,products!$A$1:$A$49,0),MATCH(orders!L$1,products!$A$1:$G$1,0))</f>
        <v>36.454999999999998</v>
      </c>
      <c r="M83" s="9">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_xlfn.XLOOKUP(orders!C84,customers!$A$1:$A$1001,customers!$G$1:$G$1001,,0)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8">
        <f>INDEX(products!$A$1:$G$49,MATCH(orders!$D84,products!$A$1:$A$49,0),MATCH(orders!L$1,products!$A$1:$G$1,0))</f>
        <v>33.464999999999996</v>
      </c>
      <c r="M84" s="9">
        <f t="shared" si="3"/>
        <v>100.39499999999998</v>
      </c>
      <c r="N84" t="str">
        <f t="shared" si="4"/>
        <v>Liberica</v>
      </c>
      <c r="O84" t="str">
        <f t="shared" si="5"/>
        <v>Mediium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_xlfn.XLOOKUP(orders!C85,customers!$A$1:$A$1001,customers!$G$1:$G$1001,,0)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8">
        <f>INDEX(products!$A$1:$G$49,MATCH(orders!$D85,products!$A$1:$A$49,0),MATCH(orders!L$1,products!$A$1:$G$1,0))</f>
        <v>20.584999999999997</v>
      </c>
      <c r="M85" s="9">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_xlfn.XLOOKUP(orders!C86,customers!$A$1:$A$1001,customers!$G$1:$G$1001,,0)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8">
        <f>INDEX(products!$A$1:$G$49,MATCH(orders!$D86,products!$A$1:$A$49,0),MATCH(orders!L$1,products!$A$1:$G$1,0))</f>
        <v>9.51</v>
      </c>
      <c r="M86" s="9">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_xlfn.XLOOKUP(orders!C87,customers!$A$1:$A$1001,customers!$G$1:$G$1001,,0)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8">
        <f>INDEX(products!$A$1:$G$49,MATCH(orders!$D87,products!$A$1:$A$49,0),MATCH(orders!L$1,products!$A$1:$G$1,0))</f>
        <v>29.784999999999997</v>
      </c>
      <c r="M87" s="9">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_xlfn.XLOOKUP(orders!C88,customers!$A$1:$A$1001,customers!$G$1:$G$1001,,0)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8">
        <f>INDEX(products!$A$1:$G$49,MATCH(orders!$D88,products!$A$1:$A$49,0),MATCH(orders!L$1,products!$A$1:$G$1,0))</f>
        <v>2.9849999999999999</v>
      </c>
      <c r="M88" s="9">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_xlfn.XLOOKUP(orders!C89,customers!$A$1:$A$1001,customers!$G$1:$G$1001,,0)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8">
        <f>INDEX(products!$A$1:$G$49,MATCH(orders!$D89,products!$A$1:$A$49,0),MATCH(orders!L$1,products!$A$1:$G$1,0))</f>
        <v>11.25</v>
      </c>
      <c r="M89" s="9">
        <f t="shared" si="3"/>
        <v>33.75</v>
      </c>
      <c r="N89" t="str">
        <f t="shared" si="4"/>
        <v>Arabica</v>
      </c>
      <c r="O89" t="str">
        <f t="shared" si="5"/>
        <v>Mediium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_xlfn.XLOOKUP(orders!C90,customers!$A$1:$A$1001,customers!$G$1:$G$1001,,0)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8">
        <f>INDEX(products!$A$1:$G$49,MATCH(orders!$D90,products!$A$1:$A$49,0),MATCH(orders!L$1,products!$A$1:$G$1,0))</f>
        <v>11.95</v>
      </c>
      <c r="M90" s="9">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_xlfn.XLOOKUP(orders!C91,customers!$A$1:$A$1001,customers!$G$1:$G$1001,,0)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8">
        <f>INDEX(products!$A$1:$G$49,MATCH(orders!$D91,products!$A$1:$A$49,0),MATCH(orders!L$1,products!$A$1:$G$1,0))</f>
        <v>12.95</v>
      </c>
      <c r="M91" s="9">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_xlfn.XLOOKUP(orders!C92,customers!$A$1:$A$1001,customers!$G$1:$G$1001,,0)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8">
        <f>INDEX(products!$A$1:$G$49,MATCH(orders!$D92,products!$A$1:$A$49,0),MATCH(orders!L$1,products!$A$1:$G$1,0))</f>
        <v>12.95</v>
      </c>
      <c r="M92" s="9">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_xlfn.XLOOKUP(orders!C93,customers!$A$1:$A$1001,customers!$G$1:$G$1001,,0)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8">
        <f>INDEX(products!$A$1:$G$49,MATCH(orders!$D93,products!$A$1:$A$49,0),MATCH(orders!L$1,products!$A$1:$G$1,0))</f>
        <v>25.874999999999996</v>
      </c>
      <c r="M93" s="9">
        <f t="shared" si="3"/>
        <v>103.49999999999999</v>
      </c>
      <c r="N93" t="str">
        <f t="shared" si="4"/>
        <v>Arabica</v>
      </c>
      <c r="O93" t="str">
        <f t="shared" si="5"/>
        <v>Mediium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_xlfn.XLOOKUP(orders!C94,customers!$A$1:$A$1001,customers!$G$1:$G$1001,,0)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8">
        <f>INDEX(products!$A$1:$G$49,MATCH(orders!$D94,products!$A$1:$A$49,0),MATCH(orders!L$1,products!$A$1:$G$1,0))</f>
        <v>14.85</v>
      </c>
      <c r="M94" s="9">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_xlfn.XLOOKUP(orders!C95,customers!$A$1:$A$1001,customers!$G$1:$G$1001,,0)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8">
        <f>INDEX(products!$A$1:$G$49,MATCH(orders!$D95,products!$A$1:$A$49,0),MATCH(orders!L$1,products!$A$1:$G$1,0))</f>
        <v>8.91</v>
      </c>
      <c r="M95" s="9">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_xlfn.XLOOKUP(orders!C96,customers!$A$1:$A$1001,customers!$G$1:$G$1001,,0)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8">
        <f>INDEX(products!$A$1:$G$49,MATCH(orders!$D96,products!$A$1:$A$49,0),MATCH(orders!L$1,products!$A$1:$G$1,0))</f>
        <v>2.9849999999999999</v>
      </c>
      <c r="M96" s="9">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_xlfn.XLOOKUP(orders!C97,customers!$A$1:$A$1001,customers!$G$1:$G$1001,,0)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8">
        <f>INDEX(products!$A$1:$G$49,MATCH(orders!$D97,products!$A$1:$A$49,0),MATCH(orders!L$1,products!$A$1:$G$1,0))</f>
        <v>25.874999999999996</v>
      </c>
      <c r="M97" s="9">
        <f t="shared" si="3"/>
        <v>155.24999999999997</v>
      </c>
      <c r="N97" t="str">
        <f t="shared" si="4"/>
        <v>Arabica</v>
      </c>
      <c r="O97" t="str">
        <f t="shared" si="5"/>
        <v>Mediium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_xlfn.XLOOKUP(orders!C98,customers!$A$1:$A$1001,customers!$G$1:$G$1001,,0)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8">
        <f>INDEX(products!$A$1:$G$49,MATCH(orders!$D98,products!$A$1:$A$49,0),MATCH(orders!L$1,products!$A$1:$G$1,0))</f>
        <v>2.9849999999999999</v>
      </c>
      <c r="M98" s="9">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_xlfn.XLOOKUP(orders!C99,customers!$A$1:$A$1001,customers!$G$1:$G$1001,,0)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8">
        <f>INDEX(products!$A$1:$G$49,MATCH(orders!$D99,products!$A$1:$A$49,0),MATCH(orders!L$1,products!$A$1:$G$1,0))</f>
        <v>6.75</v>
      </c>
      <c r="M99" s="9">
        <f t="shared" si="3"/>
        <v>13.5</v>
      </c>
      <c r="N99" t="str">
        <f t="shared" si="4"/>
        <v>Arabica</v>
      </c>
      <c r="O99" t="str">
        <f t="shared" si="5"/>
        <v>Mediium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_xlfn.XLOOKUP(orders!C100,customers!$A$1:$A$1001,customers!$G$1:$G$1001,,0)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8">
        <f>INDEX(products!$A$1:$G$49,MATCH(orders!$D100,products!$A$1:$A$49,0),MATCH(orders!L$1,products!$A$1:$G$1,0))</f>
        <v>2.9849999999999999</v>
      </c>
      <c r="M100" s="9">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_xlfn.XLOOKUP(orders!C101,customers!$A$1:$A$1001,customers!$G$1:$G$1001,,0)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8">
        <f>INDEX(products!$A$1:$G$49,MATCH(orders!$D101,products!$A$1:$A$49,0),MATCH(orders!L$1,products!$A$1:$G$1,0))</f>
        <v>4.3650000000000002</v>
      </c>
      <c r="M101" s="9">
        <f t="shared" si="3"/>
        <v>13.095000000000001</v>
      </c>
      <c r="N101" t="str">
        <f t="shared" si="4"/>
        <v>Liberica</v>
      </c>
      <c r="O101" t="str">
        <f t="shared" si="5"/>
        <v>Mediium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_xlfn.XLOOKUP(orders!C102,customers!$A$1:$A$1001,customers!$G$1:$G$1001,,0)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8">
        <f>INDEX(products!$A$1:$G$49,MATCH(orders!$D102,products!$A$1:$A$49,0),MATCH(orders!L$1,products!$A$1:$G$1,0))</f>
        <v>3.8849999999999998</v>
      </c>
      <c r="M102" s="9">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_xlfn.XLOOKUP(orders!C103,customers!$A$1:$A$1001,customers!$G$1:$G$1001,,0)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8">
        <f>INDEX(products!$A$1:$G$49,MATCH(orders!$D103,products!$A$1:$A$49,0),MATCH(orders!L$1,products!$A$1:$G$1,0))</f>
        <v>29.784999999999997</v>
      </c>
      <c r="M103" s="9">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_xlfn.XLOOKUP(orders!C104,customers!$A$1:$A$1001,customers!$G$1:$G$1001,,0)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8">
        <f>INDEX(products!$A$1:$G$49,MATCH(orders!$D104,products!$A$1:$A$49,0),MATCH(orders!L$1,products!$A$1:$G$1,0))</f>
        <v>12.95</v>
      </c>
      <c r="M104" s="9">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_xlfn.XLOOKUP(orders!C105,customers!$A$1:$A$1001,customers!$G$1:$G$1001,,0)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8">
        <f>INDEX(products!$A$1:$G$49,MATCH(orders!$D105,products!$A$1:$A$49,0),MATCH(orders!L$1,products!$A$1:$G$1,0))</f>
        <v>2.9849999999999999</v>
      </c>
      <c r="M105" s="9">
        <f t="shared" si="3"/>
        <v>11.94</v>
      </c>
      <c r="N105" t="str">
        <f t="shared" si="4"/>
        <v>Robusta</v>
      </c>
      <c r="O105" t="str">
        <f t="shared" si="5"/>
        <v>Mediium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_xlfn.XLOOKUP(orders!C106,customers!$A$1:$A$1001,customers!$G$1:$G$1001,,0)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8">
        <f>INDEX(products!$A$1:$G$49,MATCH(orders!$D106,products!$A$1:$A$49,0),MATCH(orders!L$1,products!$A$1:$G$1,0))</f>
        <v>14.55</v>
      </c>
      <c r="M106" s="9">
        <f t="shared" si="3"/>
        <v>87.300000000000011</v>
      </c>
      <c r="N106" t="str">
        <f t="shared" si="4"/>
        <v>Liberica</v>
      </c>
      <c r="O106" t="str">
        <f t="shared" si="5"/>
        <v>Mediium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_xlfn.XLOOKUP(orders!C107,customers!$A$1:$A$1001,customers!$G$1:$G$1001,,0)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8">
        <f>INDEX(products!$A$1:$G$49,MATCH(orders!$D107,products!$A$1:$A$49,0),MATCH(orders!L$1,products!$A$1:$G$1,0))</f>
        <v>6.75</v>
      </c>
      <c r="M107" s="9">
        <f t="shared" si="3"/>
        <v>40.5</v>
      </c>
      <c r="N107" t="str">
        <f t="shared" si="4"/>
        <v>Arabica</v>
      </c>
      <c r="O107" t="str">
        <f t="shared" si="5"/>
        <v>Mediium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_xlfn.XLOOKUP(orders!C108,customers!$A$1:$A$1001,customers!$G$1:$G$1001,,0)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8">
        <f>INDEX(products!$A$1:$G$49,MATCH(orders!$D108,products!$A$1:$A$49,0),MATCH(orders!L$1,products!$A$1:$G$1,0))</f>
        <v>12.15</v>
      </c>
      <c r="M108" s="9">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_xlfn.XLOOKUP(orders!C109,customers!$A$1:$A$1001,customers!$G$1:$G$1001,,0)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8">
        <f>INDEX(products!$A$1:$G$49,MATCH(orders!$D109,products!$A$1:$A$49,0),MATCH(orders!L$1,products!$A$1:$G$1,0))</f>
        <v>5.97</v>
      </c>
      <c r="M109" s="9">
        <f t="shared" si="3"/>
        <v>17.91</v>
      </c>
      <c r="N109" t="str">
        <f t="shared" si="4"/>
        <v>Robusta</v>
      </c>
      <c r="O109" t="str">
        <f t="shared" si="5"/>
        <v>Mediium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_xlfn.XLOOKUP(orders!C110,customers!$A$1:$A$1001,customers!$G$1:$G$1001,,0)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8">
        <f>INDEX(products!$A$1:$G$49,MATCH(orders!$D110,products!$A$1:$A$49,0),MATCH(orders!L$1,products!$A$1:$G$1,0))</f>
        <v>6.75</v>
      </c>
      <c r="M110" s="9">
        <f t="shared" si="3"/>
        <v>27</v>
      </c>
      <c r="N110" t="str">
        <f t="shared" si="4"/>
        <v>Arabica</v>
      </c>
      <c r="O110" t="str">
        <f t="shared" si="5"/>
        <v>Mediium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_xlfn.XLOOKUP(orders!C111,customers!$A$1:$A$1001,customers!$G$1:$G$1001,,0)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8">
        <f>INDEX(products!$A$1:$G$49,MATCH(orders!$D111,products!$A$1:$A$49,0),MATCH(orders!L$1,products!$A$1:$G$1,0))</f>
        <v>7.77</v>
      </c>
      <c r="M111" s="9">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_xlfn.XLOOKUP(orders!C112,customers!$A$1:$A$1001,customers!$G$1:$G$1001,,0)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8">
        <f>INDEX(products!$A$1:$G$49,MATCH(orders!$D112,products!$A$1:$A$49,0),MATCH(orders!L$1,products!$A$1:$G$1,0))</f>
        <v>4.4550000000000001</v>
      </c>
      <c r="M112" s="9">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_xlfn.XLOOKUP(orders!C113,customers!$A$1:$A$1001,customers!$G$1:$G$1001,,0)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8">
        <f>INDEX(products!$A$1:$G$49,MATCH(orders!$D113,products!$A$1:$A$49,0),MATCH(orders!L$1,products!$A$1:$G$1,0))</f>
        <v>5.3699999999999992</v>
      </c>
      <c r="M113" s="9">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_xlfn.XLOOKUP(orders!C114,customers!$A$1:$A$1001,customers!$G$1:$G$1001,,0)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8">
        <f>INDEX(products!$A$1:$G$49,MATCH(orders!$D114,products!$A$1:$A$49,0),MATCH(orders!L$1,products!$A$1:$G$1,0))</f>
        <v>11.25</v>
      </c>
      <c r="M114" s="9">
        <f t="shared" si="3"/>
        <v>11.25</v>
      </c>
      <c r="N114" t="str">
        <f t="shared" si="4"/>
        <v>Arabica</v>
      </c>
      <c r="O114" t="str">
        <f t="shared" si="5"/>
        <v>Mediium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_xlfn.XLOOKUP(orders!C115,customers!$A$1:$A$1001,customers!$G$1:$G$1001,,0)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8">
        <f>INDEX(products!$A$1:$G$49,MATCH(orders!$D115,products!$A$1:$A$49,0),MATCH(orders!L$1,products!$A$1:$G$1,0))</f>
        <v>14.55</v>
      </c>
      <c r="M115" s="9">
        <f t="shared" si="3"/>
        <v>14.55</v>
      </c>
      <c r="N115" t="str">
        <f t="shared" si="4"/>
        <v>Liberica</v>
      </c>
      <c r="O115" t="str">
        <f t="shared" si="5"/>
        <v>Mediium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_xlfn.XLOOKUP(orders!C116,customers!$A$1:$A$1001,customers!$G$1:$G$1001,,0)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8">
        <f>INDEX(products!$A$1:$G$49,MATCH(orders!$D116,products!$A$1:$A$49,0),MATCH(orders!L$1,products!$A$1:$G$1,0))</f>
        <v>3.5849999999999995</v>
      </c>
      <c r="M116" s="9">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_xlfn.XLOOKUP(orders!C117,customers!$A$1:$A$1001,customers!$G$1:$G$1001,,0)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8">
        <f>INDEX(products!$A$1:$G$49,MATCH(orders!$D117,products!$A$1:$A$49,0),MATCH(orders!L$1,products!$A$1:$G$1,0))</f>
        <v>15.85</v>
      </c>
      <c r="M117" s="9">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_xlfn.XLOOKUP(orders!C118,customers!$A$1:$A$1001,customers!$G$1:$G$1001,,0)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8">
        <f>INDEX(products!$A$1:$G$49,MATCH(orders!$D118,products!$A$1:$A$49,0),MATCH(orders!L$1,products!$A$1:$G$1,0))</f>
        <v>4.7549999999999999</v>
      </c>
      <c r="M118" s="9">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_xlfn.XLOOKUP(orders!C119,customers!$A$1:$A$1001,customers!$G$1:$G$1001,,0)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8">
        <f>INDEX(products!$A$1:$G$49,MATCH(orders!$D119,products!$A$1:$A$49,0),MATCH(orders!L$1,products!$A$1:$G$1,0))</f>
        <v>9.51</v>
      </c>
      <c r="M119" s="9">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_xlfn.XLOOKUP(orders!C120,customers!$A$1:$A$1001,customers!$G$1:$G$1001,,0)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8">
        <f>INDEX(products!$A$1:$G$49,MATCH(orders!$D120,products!$A$1:$A$49,0),MATCH(orders!L$1,products!$A$1:$G$1,0))</f>
        <v>7.29</v>
      </c>
      <c r="M120" s="9">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_xlfn.XLOOKUP(orders!C121,customers!$A$1:$A$1001,customers!$G$1:$G$1001,,0)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8">
        <f>INDEX(products!$A$1:$G$49,MATCH(orders!$D121,products!$A$1:$A$49,0),MATCH(orders!L$1,products!$A$1:$G$1,0))</f>
        <v>4.125</v>
      </c>
      <c r="M121" s="9">
        <f t="shared" si="3"/>
        <v>4.125</v>
      </c>
      <c r="N121" t="str">
        <f t="shared" si="4"/>
        <v>Excelsa</v>
      </c>
      <c r="O121" t="str">
        <f t="shared" si="5"/>
        <v>Mediium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_xlfn.XLOOKUP(orders!C122,customers!$A$1:$A$1001,customers!$G$1:$G$1001,,0)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8">
        <f>INDEX(products!$A$1:$G$49,MATCH(orders!$D122,products!$A$1:$A$49,0),MATCH(orders!L$1,products!$A$1:$G$1,0))</f>
        <v>3.8849999999999998</v>
      </c>
      <c r="M122" s="9">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_xlfn.XLOOKUP(orders!C123,customers!$A$1:$A$1001,customers!$G$1:$G$1001,,0)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8">
        <f>INDEX(products!$A$1:$G$49,MATCH(orders!$D123,products!$A$1:$A$49,0),MATCH(orders!L$1,products!$A$1:$G$1,0))</f>
        <v>13.75</v>
      </c>
      <c r="M123" s="9">
        <f t="shared" si="3"/>
        <v>68.75</v>
      </c>
      <c r="N123" t="str">
        <f t="shared" si="4"/>
        <v>Excelsa</v>
      </c>
      <c r="O123" t="str">
        <f t="shared" si="5"/>
        <v>Mediium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_xlfn.XLOOKUP(orders!C124,customers!$A$1:$A$1001,customers!$G$1:$G$1001,,0)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8">
        <f>INDEX(products!$A$1:$G$49,MATCH(orders!$D124,products!$A$1:$A$49,0),MATCH(orders!L$1,products!$A$1:$G$1,0))</f>
        <v>5.97</v>
      </c>
      <c r="M124" s="9">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_xlfn.XLOOKUP(orders!C125,customers!$A$1:$A$1001,customers!$G$1:$G$1001,,0)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8">
        <f>INDEX(products!$A$1:$G$49,MATCH(orders!$D125,products!$A$1:$A$49,0),MATCH(orders!L$1,products!$A$1:$G$1,0))</f>
        <v>36.454999999999998</v>
      </c>
      <c r="M125" s="9">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_xlfn.XLOOKUP(orders!C126,customers!$A$1:$A$1001,customers!$G$1:$G$1001,,0)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8">
        <f>INDEX(products!$A$1:$G$49,MATCH(orders!$D126,products!$A$1:$A$49,0),MATCH(orders!L$1,products!$A$1:$G$1,0))</f>
        <v>4.3650000000000002</v>
      </c>
      <c r="M126" s="9">
        <f t="shared" si="3"/>
        <v>21.825000000000003</v>
      </c>
      <c r="N126" t="str">
        <f t="shared" si="4"/>
        <v>Liberica</v>
      </c>
      <c r="O126" t="str">
        <f t="shared" si="5"/>
        <v>Mediium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_xlfn.XLOOKUP(orders!C127,customers!$A$1:$A$1001,customers!$G$1:$G$1001,,0)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8">
        <f>INDEX(products!$A$1:$G$49,MATCH(orders!$D127,products!$A$1:$A$49,0),MATCH(orders!L$1,products!$A$1:$G$1,0))</f>
        <v>8.73</v>
      </c>
      <c r="M127" s="9">
        <f t="shared" si="3"/>
        <v>26.19</v>
      </c>
      <c r="N127" t="str">
        <f t="shared" si="4"/>
        <v>Liberica</v>
      </c>
      <c r="O127" t="str">
        <f t="shared" si="5"/>
        <v>Mediium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_xlfn.XLOOKUP(orders!C128,customers!$A$1:$A$1001,customers!$G$1:$G$1001,,0)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8">
        <f>INDEX(products!$A$1:$G$49,MATCH(orders!$D128,products!$A$1:$A$49,0),MATCH(orders!L$1,products!$A$1:$G$1,0))</f>
        <v>11.25</v>
      </c>
      <c r="M128" s="9">
        <f t="shared" si="3"/>
        <v>11.25</v>
      </c>
      <c r="N128" t="str">
        <f t="shared" si="4"/>
        <v>Arabica</v>
      </c>
      <c r="O128" t="str">
        <f t="shared" si="5"/>
        <v>Mediium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_xlfn.XLOOKUP(orders!C129,customers!$A$1:$A$1001,customers!$G$1:$G$1001,,0)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8">
        <f>INDEX(products!$A$1:$G$49,MATCH(orders!$D129,products!$A$1:$A$49,0),MATCH(orders!L$1,products!$A$1:$G$1,0))</f>
        <v>12.95</v>
      </c>
      <c r="M129" s="9">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_xlfn.XLOOKUP(orders!C130,customers!$A$1:$A$1001,customers!$G$1:$G$1001,,0)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8">
        <f>INDEX(products!$A$1:$G$49,MATCH(orders!$D130,products!$A$1:$A$49,0),MATCH(orders!L$1,products!$A$1:$G$1,0))</f>
        <v>6.75</v>
      </c>
      <c r="M130" s="9">
        <f t="shared" si="3"/>
        <v>6.75</v>
      </c>
      <c r="N130" t="str">
        <f t="shared" si="4"/>
        <v>Arabica</v>
      </c>
      <c r="O130" t="str">
        <f t="shared" si="5"/>
        <v>Mediium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_xlfn.XLOOKUP(orders!C131,customers!$A$1:$A$1001,customers!$G$1:$G$1001,,0)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8">
        <f>INDEX(products!$A$1:$G$49,MATCH(orders!$D131,products!$A$1:$A$49,0),MATCH(orders!L$1,products!$A$1:$G$1,0))</f>
        <v>12.15</v>
      </c>
      <c r="M131" s="9">
        <f t="shared" ref="M131:M194" si="6">L131*E131</f>
        <v>12.15</v>
      </c>
      <c r="N131" t="str">
        <f t="shared" ref="N131:N194" si="7">IF(I131="Rob","Robusta",IF(I131="exc","Excelsa",IF(I131="ara","Arabica",IF(I131="Lib","Liberica",""))))</f>
        <v>Excelsa</v>
      </c>
      <c r="O131" t="str">
        <f t="shared" ref="O131:O194" si="8">IF(J131="m","Mediium",IF(J131="l","Light",IF(J131="d","Dark","")))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_xlfn.XLOOKUP(orders!C132,customers!$A$1:$A$1001,customers!$G$1:$G$1001,,0)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8">
        <f>INDEX(products!$A$1:$G$49,MATCH(orders!$D132,products!$A$1:$A$49,0),MATCH(orders!L$1,products!$A$1:$G$1,0))</f>
        <v>29.784999999999997</v>
      </c>
      <c r="M132" s="9">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_xlfn.XLOOKUP(orders!C133,customers!$A$1:$A$1001,customers!$G$1:$G$1001,,0)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8">
        <f>INDEX(products!$A$1:$G$49,MATCH(orders!$D133,products!$A$1:$A$49,0),MATCH(orders!L$1,products!$A$1:$G$1,0))</f>
        <v>7.29</v>
      </c>
      <c r="M133" s="9">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_xlfn.XLOOKUP(orders!C134,customers!$A$1:$A$1001,customers!$G$1:$G$1001,,0)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8">
        <f>INDEX(products!$A$1:$G$49,MATCH(orders!$D134,products!$A$1:$A$49,0),MATCH(orders!L$1,products!$A$1:$G$1,0))</f>
        <v>29.784999999999997</v>
      </c>
      <c r="M134" s="9">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_xlfn.XLOOKUP(orders!C135,customers!$A$1:$A$1001,customers!$G$1:$G$1001,,0)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8">
        <f>INDEX(products!$A$1:$G$49,MATCH(orders!$D135,products!$A$1:$A$49,0),MATCH(orders!L$1,products!$A$1:$G$1,0))</f>
        <v>12.95</v>
      </c>
      <c r="M135" s="9">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_xlfn.XLOOKUP(orders!C136,customers!$A$1:$A$1001,customers!$G$1:$G$1001,,0)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8">
        <f>INDEX(products!$A$1:$G$49,MATCH(orders!$D136,products!$A$1:$A$49,0),MATCH(orders!L$1,products!$A$1:$G$1,0))</f>
        <v>31.624999999999996</v>
      </c>
      <c r="M136" s="9">
        <f t="shared" si="6"/>
        <v>94.874999999999986</v>
      </c>
      <c r="N136" t="str">
        <f t="shared" si="7"/>
        <v>Excelsa</v>
      </c>
      <c r="O136" t="str">
        <f t="shared" si="8"/>
        <v>Mediium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_xlfn.XLOOKUP(orders!C137,customers!$A$1:$A$1001,customers!$G$1:$G$1001,,0)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8">
        <f>INDEX(products!$A$1:$G$49,MATCH(orders!$D137,products!$A$1:$A$49,0),MATCH(orders!L$1,products!$A$1:$G$1,0))</f>
        <v>7.77</v>
      </c>
      <c r="M137" s="9">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_xlfn.XLOOKUP(orders!C138,customers!$A$1:$A$1001,customers!$G$1:$G$1001,,0)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8">
        <f>INDEX(products!$A$1:$G$49,MATCH(orders!$D138,products!$A$1:$A$49,0),MATCH(orders!L$1,products!$A$1:$G$1,0))</f>
        <v>2.9849999999999999</v>
      </c>
      <c r="M138" s="9">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_xlfn.XLOOKUP(orders!C139,customers!$A$1:$A$1001,customers!$G$1:$G$1001,,0)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8">
        <f>INDEX(products!$A$1:$G$49,MATCH(orders!$D139,products!$A$1:$A$49,0),MATCH(orders!L$1,products!$A$1:$G$1,0))</f>
        <v>34.154999999999994</v>
      </c>
      <c r="M139" s="9">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_xlfn.XLOOKUP(orders!C140,customers!$A$1:$A$1001,customers!$G$1:$G$1001,,0)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8">
        <f>INDEX(products!$A$1:$G$49,MATCH(orders!$D140,products!$A$1:$A$49,0),MATCH(orders!L$1,products!$A$1:$G$1,0))</f>
        <v>12.15</v>
      </c>
      <c r="M140" s="9">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_xlfn.XLOOKUP(orders!C141,customers!$A$1:$A$1001,customers!$G$1:$G$1001,,0)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8">
        <f>INDEX(products!$A$1:$G$49,MATCH(orders!$D141,products!$A$1:$A$49,0),MATCH(orders!L$1,products!$A$1:$G$1,0))</f>
        <v>12.95</v>
      </c>
      <c r="M141" s="9">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_xlfn.XLOOKUP(orders!C142,customers!$A$1:$A$1001,customers!$G$1:$G$1001,,0)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8">
        <f>INDEX(products!$A$1:$G$49,MATCH(orders!$D142,products!$A$1:$A$49,0),MATCH(orders!L$1,products!$A$1:$G$1,0))</f>
        <v>29.784999999999997</v>
      </c>
      <c r="M142" s="9">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_xlfn.XLOOKUP(orders!C143,customers!$A$1:$A$1001,customers!$G$1:$G$1001,,0)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8">
        <f>INDEX(products!$A$1:$G$49,MATCH(orders!$D143,products!$A$1:$A$49,0),MATCH(orders!L$1,products!$A$1:$G$1,0))</f>
        <v>3.8849999999999998</v>
      </c>
      <c r="M143" s="9">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_xlfn.XLOOKUP(orders!C144,customers!$A$1:$A$1001,customers!$G$1:$G$1001,,0)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8">
        <f>INDEX(products!$A$1:$G$49,MATCH(orders!$D144,products!$A$1:$A$49,0),MATCH(orders!L$1,products!$A$1:$G$1,0))</f>
        <v>34.154999999999994</v>
      </c>
      <c r="M144" s="9">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_xlfn.XLOOKUP(orders!C145,customers!$A$1:$A$1001,customers!$G$1:$G$1001,,0)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8">
        <f>INDEX(products!$A$1:$G$49,MATCH(orders!$D145,products!$A$1:$A$49,0),MATCH(orders!L$1,products!$A$1:$G$1,0))</f>
        <v>8.73</v>
      </c>
      <c r="M145" s="9">
        <f t="shared" si="6"/>
        <v>17.46</v>
      </c>
      <c r="N145" t="str">
        <f t="shared" si="7"/>
        <v>Liberica</v>
      </c>
      <c r="O145" t="str">
        <f t="shared" si="8"/>
        <v>Mediium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_xlfn.XLOOKUP(orders!C146,customers!$A$1:$A$1001,customers!$G$1:$G$1001,,0)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8">
        <f>INDEX(products!$A$1:$G$49,MATCH(orders!$D146,products!$A$1:$A$49,0),MATCH(orders!L$1,products!$A$1:$G$1,0))</f>
        <v>34.154999999999994</v>
      </c>
      <c r="M146" s="9">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_xlfn.XLOOKUP(orders!C147,customers!$A$1:$A$1001,customers!$G$1:$G$1001,,0)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8">
        <f>INDEX(products!$A$1:$G$49,MATCH(orders!$D147,products!$A$1:$A$49,0),MATCH(orders!L$1,products!$A$1:$G$1,0))</f>
        <v>4.3650000000000002</v>
      </c>
      <c r="M147" s="9">
        <f t="shared" si="6"/>
        <v>17.46</v>
      </c>
      <c r="N147" t="str">
        <f t="shared" si="7"/>
        <v>Liberica</v>
      </c>
      <c r="O147" t="str">
        <f t="shared" si="8"/>
        <v>Mediium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_xlfn.XLOOKUP(orders!C148,customers!$A$1:$A$1001,customers!$G$1:$G$1001,,0)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8">
        <f>INDEX(products!$A$1:$G$49,MATCH(orders!$D148,products!$A$1:$A$49,0),MATCH(orders!L$1,products!$A$1:$G$1,0))</f>
        <v>14.55</v>
      </c>
      <c r="M148" s="9">
        <f t="shared" si="6"/>
        <v>43.650000000000006</v>
      </c>
      <c r="N148" t="str">
        <f t="shared" si="7"/>
        <v>Liberica</v>
      </c>
      <c r="O148" t="str">
        <f t="shared" si="8"/>
        <v>Mediium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_xlfn.XLOOKUP(orders!C149,customers!$A$1:$A$1001,customers!$G$1:$G$1001,,0)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8">
        <f>INDEX(products!$A$1:$G$49,MATCH(orders!$D149,products!$A$1:$A$49,0),MATCH(orders!L$1,products!$A$1:$G$1,0))</f>
        <v>13.75</v>
      </c>
      <c r="M149" s="9">
        <f t="shared" si="6"/>
        <v>27.5</v>
      </c>
      <c r="N149" t="str">
        <f t="shared" si="7"/>
        <v>Excelsa</v>
      </c>
      <c r="O149" t="str">
        <f t="shared" si="8"/>
        <v>Mediium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_xlfn.XLOOKUP(orders!C150,customers!$A$1:$A$1001,customers!$G$1:$G$1001,,0)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8">
        <f>INDEX(products!$A$1:$G$49,MATCH(orders!$D150,products!$A$1:$A$49,0),MATCH(orders!L$1,products!$A$1:$G$1,0))</f>
        <v>3.645</v>
      </c>
      <c r="M150" s="9">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_xlfn.XLOOKUP(orders!C151,customers!$A$1:$A$1001,customers!$G$1:$G$1001,,0)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8">
        <f>INDEX(products!$A$1:$G$49,MATCH(orders!$D151,products!$A$1:$A$49,0),MATCH(orders!L$1,products!$A$1:$G$1,0))</f>
        <v>25.874999999999996</v>
      </c>
      <c r="M151" s="9">
        <f t="shared" si="6"/>
        <v>51.749999999999993</v>
      </c>
      <c r="N151" t="str">
        <f t="shared" si="7"/>
        <v>Arabica</v>
      </c>
      <c r="O151" t="str">
        <f t="shared" si="8"/>
        <v>Mediium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_xlfn.XLOOKUP(orders!C152,customers!$A$1:$A$1001,customers!$G$1:$G$1001,,0)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8">
        <f>INDEX(products!$A$1:$G$49,MATCH(orders!$D152,products!$A$1:$A$49,0),MATCH(orders!L$1,products!$A$1:$G$1,0))</f>
        <v>12.95</v>
      </c>
      <c r="M152" s="9">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_xlfn.XLOOKUP(orders!C153,customers!$A$1:$A$1001,customers!$G$1:$G$1001,,0)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8">
        <f>INDEX(products!$A$1:$G$49,MATCH(orders!$D153,products!$A$1:$A$49,0),MATCH(orders!L$1,products!$A$1:$G$1,0))</f>
        <v>11.25</v>
      </c>
      <c r="M153" s="9">
        <f t="shared" si="6"/>
        <v>33.75</v>
      </c>
      <c r="N153" t="str">
        <f t="shared" si="7"/>
        <v>Arabica</v>
      </c>
      <c r="O153" t="str">
        <f t="shared" si="8"/>
        <v>Mediium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_xlfn.XLOOKUP(orders!C154,customers!$A$1:$A$1001,customers!$G$1:$G$1001,,0)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8">
        <f>INDEX(products!$A$1:$G$49,MATCH(orders!$D154,products!$A$1:$A$49,0),MATCH(orders!L$1,products!$A$1:$G$1,0))</f>
        <v>22.884999999999998</v>
      </c>
      <c r="M154" s="9">
        <f t="shared" si="6"/>
        <v>68.655000000000001</v>
      </c>
      <c r="N154" t="str">
        <f t="shared" si="7"/>
        <v>Robusta</v>
      </c>
      <c r="O154" t="str">
        <f t="shared" si="8"/>
        <v>Mediium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_xlfn.XLOOKUP(orders!C155,customers!$A$1:$A$1001,customers!$G$1:$G$1001,,0)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8">
        <f>INDEX(products!$A$1:$G$49,MATCH(orders!$D155,products!$A$1:$A$49,0),MATCH(orders!L$1,products!$A$1:$G$1,0))</f>
        <v>2.6849999999999996</v>
      </c>
      <c r="M155" s="9">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_xlfn.XLOOKUP(orders!C156,customers!$A$1:$A$1001,customers!$G$1:$G$1001,,0)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8">
        <f>INDEX(products!$A$1:$G$49,MATCH(orders!$D156,products!$A$1:$A$49,0),MATCH(orders!L$1,products!$A$1:$G$1,0))</f>
        <v>22.884999999999998</v>
      </c>
      <c r="M156" s="9">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_xlfn.XLOOKUP(orders!C157,customers!$A$1:$A$1001,customers!$G$1:$G$1001,,0)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8">
        <f>INDEX(products!$A$1:$G$49,MATCH(orders!$D157,products!$A$1:$A$49,0),MATCH(orders!L$1,products!$A$1:$G$1,0))</f>
        <v>25.874999999999996</v>
      </c>
      <c r="M157" s="9">
        <f t="shared" si="6"/>
        <v>155.24999999999997</v>
      </c>
      <c r="N157" t="str">
        <f t="shared" si="7"/>
        <v>Arabica</v>
      </c>
      <c r="O157" t="str">
        <f t="shared" si="8"/>
        <v>Mediium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_xlfn.XLOOKUP(orders!C158,customers!$A$1:$A$1001,customers!$G$1:$G$1001,,0)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8">
        <f>INDEX(products!$A$1:$G$49,MATCH(orders!$D158,products!$A$1:$A$49,0),MATCH(orders!L$1,products!$A$1:$G$1,0))</f>
        <v>25.874999999999996</v>
      </c>
      <c r="M158" s="9">
        <f t="shared" si="6"/>
        <v>77.624999999999986</v>
      </c>
      <c r="N158" t="str">
        <f t="shared" si="7"/>
        <v>Arabica</v>
      </c>
      <c r="O158" t="str">
        <f t="shared" si="8"/>
        <v>Mediium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_xlfn.XLOOKUP(orders!C159,customers!$A$1:$A$1001,customers!$G$1:$G$1001,,0)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8">
        <f>INDEX(products!$A$1:$G$49,MATCH(orders!$D159,products!$A$1:$A$49,0),MATCH(orders!L$1,products!$A$1:$G$1,0))</f>
        <v>20.584999999999997</v>
      </c>
      <c r="M159" s="9">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_xlfn.XLOOKUP(orders!C160,customers!$A$1:$A$1001,customers!$G$1:$G$1001,,0)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8">
        <f>INDEX(products!$A$1:$G$49,MATCH(orders!$D160,products!$A$1:$A$49,0),MATCH(orders!L$1,products!$A$1:$G$1,0))</f>
        <v>20.584999999999997</v>
      </c>
      <c r="M160" s="9">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_xlfn.XLOOKUP(orders!C161,customers!$A$1:$A$1001,customers!$G$1:$G$1001,,0)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8">
        <f>INDEX(products!$A$1:$G$49,MATCH(orders!$D161,products!$A$1:$A$49,0),MATCH(orders!L$1,products!$A$1:$G$1,0))</f>
        <v>36.454999999999998</v>
      </c>
      <c r="M161" s="9">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_xlfn.XLOOKUP(orders!C162,customers!$A$1:$A$1001,customers!$G$1:$G$1001,,0)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8">
        <f>INDEX(products!$A$1:$G$49,MATCH(orders!$D162,products!$A$1:$A$49,0),MATCH(orders!L$1,products!$A$1:$G$1,0))</f>
        <v>8.25</v>
      </c>
      <c r="M162" s="9">
        <f t="shared" si="6"/>
        <v>33</v>
      </c>
      <c r="N162" t="str">
        <f t="shared" si="7"/>
        <v>Excelsa</v>
      </c>
      <c r="O162" t="str">
        <f t="shared" si="8"/>
        <v>Mediium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_xlfn.XLOOKUP(orders!C163,customers!$A$1:$A$1001,customers!$G$1:$G$1001,,0)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8">
        <f>INDEX(products!$A$1:$G$49,MATCH(orders!$D163,products!$A$1:$A$49,0),MATCH(orders!L$1,products!$A$1:$G$1,0))</f>
        <v>7.77</v>
      </c>
      <c r="M163" s="9">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_xlfn.XLOOKUP(orders!C164,customers!$A$1:$A$1001,customers!$G$1:$G$1001,,0)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8">
        <f>INDEX(products!$A$1:$G$49,MATCH(orders!$D164,products!$A$1:$A$49,0),MATCH(orders!L$1,products!$A$1:$G$1,0))</f>
        <v>7.29</v>
      </c>
      <c r="M164" s="9">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_xlfn.XLOOKUP(orders!C165,customers!$A$1:$A$1001,customers!$G$1:$G$1001,,0)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8">
        <f>INDEX(products!$A$1:$G$49,MATCH(orders!$D165,products!$A$1:$A$49,0),MATCH(orders!L$1,products!$A$1:$G$1,0))</f>
        <v>2.6849999999999996</v>
      </c>
      <c r="M165" s="9">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_xlfn.XLOOKUP(orders!C166,customers!$A$1:$A$1001,customers!$G$1:$G$1001,,0)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8">
        <f>INDEX(products!$A$1:$G$49,MATCH(orders!$D166,products!$A$1:$A$49,0),MATCH(orders!L$1,products!$A$1:$G$1,0))</f>
        <v>7.29</v>
      </c>
      <c r="M166" s="9">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_xlfn.XLOOKUP(orders!C167,customers!$A$1:$A$1001,customers!$G$1:$G$1001,,0)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8">
        <f>INDEX(products!$A$1:$G$49,MATCH(orders!$D167,products!$A$1:$A$49,0),MATCH(orders!L$1,products!$A$1:$G$1,0))</f>
        <v>8.9499999999999993</v>
      </c>
      <c r="M167" s="9">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_xlfn.XLOOKUP(orders!C168,customers!$A$1:$A$1001,customers!$G$1:$G$1001,,0)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8">
        <f>INDEX(products!$A$1:$G$49,MATCH(orders!$D168,products!$A$1:$A$49,0),MATCH(orders!L$1,products!$A$1:$G$1,0))</f>
        <v>5.3699999999999992</v>
      </c>
      <c r="M168" s="9">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_xlfn.XLOOKUP(orders!C169,customers!$A$1:$A$1001,customers!$G$1:$G$1001,,0)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8">
        <f>INDEX(products!$A$1:$G$49,MATCH(orders!$D169,products!$A$1:$A$49,0),MATCH(orders!L$1,products!$A$1:$G$1,0))</f>
        <v>8.25</v>
      </c>
      <c r="M169" s="9">
        <f t="shared" si="6"/>
        <v>41.25</v>
      </c>
      <c r="N169" t="str">
        <f t="shared" si="7"/>
        <v>Excelsa</v>
      </c>
      <c r="O169" t="str">
        <f t="shared" si="8"/>
        <v>Mediium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_xlfn.XLOOKUP(orders!C170,customers!$A$1:$A$1001,customers!$G$1:$G$1001,,0)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8">
        <f>INDEX(products!$A$1:$G$49,MATCH(orders!$D170,products!$A$1:$A$49,0),MATCH(orders!L$1,products!$A$1:$G$1,0))</f>
        <v>6.75</v>
      </c>
      <c r="M170" s="9">
        <f t="shared" si="6"/>
        <v>40.5</v>
      </c>
      <c r="N170" t="str">
        <f t="shared" si="7"/>
        <v>Arabica</v>
      </c>
      <c r="O170" t="str">
        <f t="shared" si="8"/>
        <v>Mediium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_xlfn.XLOOKUP(orders!C171,customers!$A$1:$A$1001,customers!$G$1:$G$1001,,0)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8">
        <f>INDEX(products!$A$1:$G$49,MATCH(orders!$D171,products!$A$1:$A$49,0),MATCH(orders!L$1,products!$A$1:$G$1,0))</f>
        <v>8.9499999999999993</v>
      </c>
      <c r="M171" s="9">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_xlfn.XLOOKUP(orders!C172,customers!$A$1:$A$1001,customers!$G$1:$G$1001,,0)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8">
        <f>INDEX(products!$A$1:$G$49,MATCH(orders!$D172,products!$A$1:$A$49,0),MATCH(orders!L$1,products!$A$1:$G$1,0))</f>
        <v>34.154999999999994</v>
      </c>
      <c r="M172" s="9">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_xlfn.XLOOKUP(orders!C173,customers!$A$1:$A$1001,customers!$G$1:$G$1001,,0)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8">
        <f>INDEX(products!$A$1:$G$49,MATCH(orders!$D173,products!$A$1:$A$49,0),MATCH(orders!L$1,products!$A$1:$G$1,0))</f>
        <v>31.624999999999996</v>
      </c>
      <c r="M173" s="9">
        <f t="shared" si="6"/>
        <v>63.249999999999993</v>
      </c>
      <c r="N173" t="str">
        <f t="shared" si="7"/>
        <v>Excelsa</v>
      </c>
      <c r="O173" t="str">
        <f t="shared" si="8"/>
        <v>Mediium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_xlfn.XLOOKUP(orders!C174,customers!$A$1:$A$1001,customers!$G$1:$G$1001,,0)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8">
        <f>INDEX(products!$A$1:$G$49,MATCH(orders!$D174,products!$A$1:$A$49,0),MATCH(orders!L$1,products!$A$1:$G$1,0))</f>
        <v>7.29</v>
      </c>
      <c r="M174" s="9">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_xlfn.XLOOKUP(orders!C175,customers!$A$1:$A$1001,customers!$G$1:$G$1001,,0)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8">
        <f>INDEX(products!$A$1:$G$49,MATCH(orders!$D175,products!$A$1:$A$49,0),MATCH(orders!L$1,products!$A$1:$G$1,0))</f>
        <v>22.884999999999998</v>
      </c>
      <c r="M175" s="9">
        <f t="shared" si="6"/>
        <v>91.539999999999992</v>
      </c>
      <c r="N175" t="str">
        <f t="shared" si="7"/>
        <v>Robusta</v>
      </c>
      <c r="O175" t="str">
        <f t="shared" si="8"/>
        <v>Mediium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_xlfn.XLOOKUP(orders!C176,customers!$A$1:$A$1001,customers!$G$1:$G$1001,,0)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8">
        <f>INDEX(products!$A$1:$G$49,MATCH(orders!$D176,products!$A$1:$A$49,0),MATCH(orders!L$1,products!$A$1:$G$1,0))</f>
        <v>34.154999999999994</v>
      </c>
      <c r="M176" s="9">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_xlfn.XLOOKUP(orders!C177,customers!$A$1:$A$1001,customers!$G$1:$G$1001,,0)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8">
        <f>INDEX(products!$A$1:$G$49,MATCH(orders!$D177,products!$A$1:$A$49,0),MATCH(orders!L$1,products!$A$1:$G$1,0))</f>
        <v>31.624999999999996</v>
      </c>
      <c r="M177" s="9">
        <f t="shared" si="6"/>
        <v>63.249999999999993</v>
      </c>
      <c r="N177" t="str">
        <f t="shared" si="7"/>
        <v>Excelsa</v>
      </c>
      <c r="O177" t="str">
        <f t="shared" si="8"/>
        <v>Mediium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_xlfn.XLOOKUP(orders!C178,customers!$A$1:$A$1001,customers!$G$1:$G$1001,,0)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8">
        <f>INDEX(products!$A$1:$G$49,MATCH(orders!$D178,products!$A$1:$A$49,0),MATCH(orders!L$1,products!$A$1:$G$1,0))</f>
        <v>34.154999999999994</v>
      </c>
      <c r="M178" s="9">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_xlfn.XLOOKUP(orders!C179,customers!$A$1:$A$1001,customers!$G$1:$G$1001,,0)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8">
        <f>INDEX(products!$A$1:$G$49,MATCH(orders!$D179,products!$A$1:$A$49,0),MATCH(orders!L$1,products!$A$1:$G$1,0))</f>
        <v>27.484999999999996</v>
      </c>
      <c r="M179" s="9">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_xlfn.XLOOKUP(orders!C180,customers!$A$1:$A$1001,customers!$G$1:$G$1001,,0)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8">
        <f>INDEX(products!$A$1:$G$49,MATCH(orders!$D180,products!$A$1:$A$49,0),MATCH(orders!L$1,products!$A$1:$G$1,0))</f>
        <v>12.95</v>
      </c>
      <c r="M180" s="9">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_xlfn.XLOOKUP(orders!C181,customers!$A$1:$A$1001,customers!$G$1:$G$1001,,0)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8">
        <f>INDEX(products!$A$1:$G$49,MATCH(orders!$D181,products!$A$1:$A$49,0),MATCH(orders!L$1,products!$A$1:$G$1,0))</f>
        <v>2.9849999999999999</v>
      </c>
      <c r="M181" s="9">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_xlfn.XLOOKUP(orders!C182,customers!$A$1:$A$1001,customers!$G$1:$G$1001,,0)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8">
        <f>INDEX(products!$A$1:$G$49,MATCH(orders!$D182,products!$A$1:$A$49,0),MATCH(orders!L$1,products!$A$1:$G$1,0))</f>
        <v>4.4550000000000001</v>
      </c>
      <c r="M182" s="9">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_xlfn.XLOOKUP(orders!C183,customers!$A$1:$A$1001,customers!$G$1:$G$1001,,0)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8">
        <f>INDEX(products!$A$1:$G$49,MATCH(orders!$D183,products!$A$1:$A$49,0),MATCH(orders!L$1,products!$A$1:$G$1,0))</f>
        <v>5.97</v>
      </c>
      <c r="M183" s="9">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_xlfn.XLOOKUP(orders!C184,customers!$A$1:$A$1001,customers!$G$1:$G$1001,,0)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8">
        <f>INDEX(products!$A$1:$G$49,MATCH(orders!$D184,products!$A$1:$A$49,0),MATCH(orders!L$1,products!$A$1:$G$1,0))</f>
        <v>5.3699999999999992</v>
      </c>
      <c r="M184" s="9">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_xlfn.XLOOKUP(orders!C185,customers!$A$1:$A$1001,customers!$G$1:$G$1001,,0)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8">
        <f>INDEX(products!$A$1:$G$49,MATCH(orders!$D185,products!$A$1:$A$49,0),MATCH(orders!L$1,products!$A$1:$G$1,0))</f>
        <v>4.125</v>
      </c>
      <c r="M185" s="9">
        <f t="shared" si="6"/>
        <v>8.25</v>
      </c>
      <c r="N185" t="str">
        <f t="shared" si="7"/>
        <v>Excelsa</v>
      </c>
      <c r="O185" t="str">
        <f t="shared" si="8"/>
        <v>Mediium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_xlfn.XLOOKUP(orders!C186,customers!$A$1:$A$1001,customers!$G$1:$G$1001,,0)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8">
        <f>INDEX(products!$A$1:$G$49,MATCH(orders!$D186,products!$A$1:$A$49,0),MATCH(orders!L$1,products!$A$1:$G$1,0))</f>
        <v>7.77</v>
      </c>
      <c r="M186" s="9">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_xlfn.XLOOKUP(orders!C187,customers!$A$1:$A$1001,customers!$G$1:$G$1001,,0)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8">
        <f>INDEX(products!$A$1:$G$49,MATCH(orders!$D187,products!$A$1:$A$49,0),MATCH(orders!L$1,products!$A$1:$G$1,0))</f>
        <v>7.29</v>
      </c>
      <c r="M187" s="9">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_xlfn.XLOOKUP(orders!C188,customers!$A$1:$A$1001,customers!$G$1:$G$1001,,0)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8">
        <f>INDEX(products!$A$1:$G$49,MATCH(orders!$D188,products!$A$1:$A$49,0),MATCH(orders!L$1,products!$A$1:$G$1,0))</f>
        <v>22.884999999999998</v>
      </c>
      <c r="M188" s="9">
        <f t="shared" si="6"/>
        <v>68.655000000000001</v>
      </c>
      <c r="N188" t="str">
        <f t="shared" si="7"/>
        <v>Robusta</v>
      </c>
      <c r="O188" t="str">
        <f t="shared" si="8"/>
        <v>Mediium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_xlfn.XLOOKUP(orders!C189,customers!$A$1:$A$1001,customers!$G$1:$G$1001,,0)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8">
        <f>INDEX(products!$A$1:$G$49,MATCH(orders!$D189,products!$A$1:$A$49,0),MATCH(orders!L$1,products!$A$1:$G$1,0))</f>
        <v>8.73</v>
      </c>
      <c r="M189" s="9">
        <f t="shared" si="6"/>
        <v>43.650000000000006</v>
      </c>
      <c r="N189" t="str">
        <f t="shared" si="7"/>
        <v>Liberica</v>
      </c>
      <c r="O189" t="str">
        <f t="shared" si="8"/>
        <v>Mediium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_xlfn.XLOOKUP(orders!C190,customers!$A$1:$A$1001,customers!$G$1:$G$1001,,0)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8">
        <f>INDEX(products!$A$1:$G$49,MATCH(orders!$D190,products!$A$1:$A$49,0),MATCH(orders!L$1,products!$A$1:$G$1,0))</f>
        <v>4.4550000000000001</v>
      </c>
      <c r="M190" s="9">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_xlfn.XLOOKUP(orders!C191,customers!$A$1:$A$1001,customers!$G$1:$G$1001,,0)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8">
        <f>INDEX(products!$A$1:$G$49,MATCH(orders!$D191,products!$A$1:$A$49,0),MATCH(orders!L$1,products!$A$1:$G$1,0))</f>
        <v>14.55</v>
      </c>
      <c r="M191" s="9">
        <f t="shared" si="6"/>
        <v>43.650000000000006</v>
      </c>
      <c r="N191" t="str">
        <f t="shared" si="7"/>
        <v>Liberica</v>
      </c>
      <c r="O191" t="str">
        <f t="shared" si="8"/>
        <v>Mediium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_xlfn.XLOOKUP(orders!C192,customers!$A$1:$A$1001,customers!$G$1:$G$1001,,0)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8">
        <f>INDEX(products!$A$1:$G$49,MATCH(orders!$D192,products!$A$1:$A$49,0),MATCH(orders!L$1,products!$A$1:$G$1,0))</f>
        <v>33.464999999999996</v>
      </c>
      <c r="M192" s="9">
        <f t="shared" si="6"/>
        <v>33.464999999999996</v>
      </c>
      <c r="N192" t="str">
        <f t="shared" si="7"/>
        <v>Liberica</v>
      </c>
      <c r="O192" t="str">
        <f t="shared" si="8"/>
        <v>Mediium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_xlfn.XLOOKUP(orders!C193,customers!$A$1:$A$1001,customers!$G$1:$G$1001,,0)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8">
        <f>INDEX(products!$A$1:$G$49,MATCH(orders!$D193,products!$A$1:$A$49,0),MATCH(orders!L$1,products!$A$1:$G$1,0))</f>
        <v>3.8849999999999998</v>
      </c>
      <c r="M193" s="9">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_xlfn.XLOOKUP(orders!C194,customers!$A$1:$A$1001,customers!$G$1:$G$1001,,0)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8">
        <f>INDEX(products!$A$1:$G$49,MATCH(orders!$D194,products!$A$1:$A$49,0),MATCH(orders!L$1,products!$A$1:$G$1,0))</f>
        <v>12.15</v>
      </c>
      <c r="M194" s="9">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_xlfn.XLOOKUP(orders!C195,customers!$A$1:$A$1001,customers!$G$1:$G$1001,,0)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8">
        <f>INDEX(products!$A$1:$G$49,MATCH(orders!$D195,products!$A$1:$A$49,0),MATCH(orders!L$1,products!$A$1:$G$1,0))</f>
        <v>14.85</v>
      </c>
      <c r="M195" s="9">
        <f t="shared" ref="M195:M258" si="9">L195*E195</f>
        <v>44.55</v>
      </c>
      <c r="N195" t="str">
        <f t="shared" ref="N195:N258" si="10">IF(I195="Rob","Robusta",IF(I195="exc","Excelsa",IF(I195="ara","Arabica",IF(I195="Lib","Liberica",""))))</f>
        <v>Excelsa</v>
      </c>
      <c r="O195" t="str">
        <f t="shared" ref="O195:O258" si="11">IF(J195="m","Mediium",IF(J195="l","Light",IF(J195="d","Dark","")))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_xlfn.XLOOKUP(orders!C196,customers!$A$1:$A$1001,customers!$G$1:$G$1001,,0)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8">
        <f>INDEX(products!$A$1:$G$49,MATCH(orders!$D196,products!$A$1:$A$49,0),MATCH(orders!L$1,products!$A$1:$G$1,0))</f>
        <v>7.29</v>
      </c>
      <c r="M196" s="9">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_xlfn.XLOOKUP(orders!C197,customers!$A$1:$A$1001,customers!$G$1:$G$1001,,0)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8">
        <f>INDEX(products!$A$1:$G$49,MATCH(orders!$D197,products!$A$1:$A$49,0),MATCH(orders!L$1,products!$A$1:$G$1,0))</f>
        <v>12.95</v>
      </c>
      <c r="M197" s="9">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_xlfn.XLOOKUP(orders!C198,customers!$A$1:$A$1001,customers!$G$1:$G$1001,,0)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8">
        <f>INDEX(products!$A$1:$G$49,MATCH(orders!$D198,products!$A$1:$A$49,0),MATCH(orders!L$1,products!$A$1:$G$1,0))</f>
        <v>8.91</v>
      </c>
      <c r="M198" s="9">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_xlfn.XLOOKUP(orders!C199,customers!$A$1:$A$1001,customers!$G$1:$G$1001,,0)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8">
        <f>INDEX(products!$A$1:$G$49,MATCH(orders!$D199,products!$A$1:$A$49,0),MATCH(orders!L$1,products!$A$1:$G$1,0))</f>
        <v>29.784999999999997</v>
      </c>
      <c r="M199" s="9">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_xlfn.XLOOKUP(orders!C200,customers!$A$1:$A$1001,customers!$G$1:$G$1001,,0)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8">
        <f>INDEX(products!$A$1:$G$49,MATCH(orders!$D200,products!$A$1:$A$49,0),MATCH(orders!L$1,products!$A$1:$G$1,0))</f>
        <v>29.784999999999997</v>
      </c>
      <c r="M200" s="9">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_xlfn.XLOOKUP(orders!C201,customers!$A$1:$A$1001,customers!$G$1:$G$1001,,0)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8">
        <f>INDEX(products!$A$1:$G$49,MATCH(orders!$D201,products!$A$1:$A$49,0),MATCH(orders!L$1,products!$A$1:$G$1,0))</f>
        <v>9.51</v>
      </c>
      <c r="M201" s="9">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_xlfn.XLOOKUP(orders!C202,customers!$A$1:$A$1001,customers!$G$1:$G$1001,,0)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8">
        <f>INDEX(products!$A$1:$G$49,MATCH(orders!$D202,products!$A$1:$A$49,0),MATCH(orders!L$1,products!$A$1:$G$1,0))</f>
        <v>13.75</v>
      </c>
      <c r="M202" s="9">
        <f t="shared" si="9"/>
        <v>41.25</v>
      </c>
      <c r="N202" t="str">
        <f t="shared" si="10"/>
        <v>Excelsa</v>
      </c>
      <c r="O202" t="str">
        <f t="shared" si="11"/>
        <v>Mediium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_xlfn.XLOOKUP(orders!C203,customers!$A$1:$A$1001,customers!$G$1:$G$1001,,0)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8">
        <f>INDEX(products!$A$1:$G$49,MATCH(orders!$D203,products!$A$1:$A$49,0),MATCH(orders!L$1,products!$A$1:$G$1,0))</f>
        <v>9.51</v>
      </c>
      <c r="M203" s="9">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_xlfn.XLOOKUP(orders!C204,customers!$A$1:$A$1001,customers!$G$1:$G$1001,,0)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8">
        <f>INDEX(products!$A$1:$G$49,MATCH(orders!$D204,products!$A$1:$A$49,0),MATCH(orders!L$1,products!$A$1:$G$1,0))</f>
        <v>29.784999999999997</v>
      </c>
      <c r="M204" s="9">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_xlfn.XLOOKUP(orders!C205,customers!$A$1:$A$1001,customers!$G$1:$G$1001,,0)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8">
        <f>INDEX(products!$A$1:$G$49,MATCH(orders!$D205,products!$A$1:$A$49,0),MATCH(orders!L$1,products!$A$1:$G$1,0))</f>
        <v>4.7549999999999999</v>
      </c>
      <c r="M205" s="9">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_xlfn.XLOOKUP(orders!C206,customers!$A$1:$A$1001,customers!$G$1:$G$1001,,0)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8">
        <f>INDEX(products!$A$1:$G$49,MATCH(orders!$D206,products!$A$1:$A$49,0),MATCH(orders!L$1,products!$A$1:$G$1,0))</f>
        <v>13.75</v>
      </c>
      <c r="M206" s="9">
        <f t="shared" si="9"/>
        <v>82.5</v>
      </c>
      <c r="N206" t="str">
        <f t="shared" si="10"/>
        <v>Excelsa</v>
      </c>
      <c r="O206" t="str">
        <f t="shared" si="11"/>
        <v>Mediium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_xlfn.XLOOKUP(orders!C207,customers!$A$1:$A$1001,customers!$G$1:$G$1001,,0)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8">
        <f>INDEX(products!$A$1:$G$49,MATCH(orders!$D207,products!$A$1:$A$49,0),MATCH(orders!L$1,products!$A$1:$G$1,0))</f>
        <v>2.6849999999999996</v>
      </c>
      <c r="M207" s="9">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_xlfn.XLOOKUP(orders!C208,customers!$A$1:$A$1001,customers!$G$1:$G$1001,,0)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8">
        <f>INDEX(products!$A$1:$G$49,MATCH(orders!$D208,products!$A$1:$A$49,0),MATCH(orders!L$1,products!$A$1:$G$1,0))</f>
        <v>11.25</v>
      </c>
      <c r="M208" s="9">
        <f t="shared" si="9"/>
        <v>22.5</v>
      </c>
      <c r="N208" t="str">
        <f t="shared" si="10"/>
        <v>Arabica</v>
      </c>
      <c r="O208" t="str">
        <f t="shared" si="11"/>
        <v>Mediium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_xlfn.XLOOKUP(orders!C209,customers!$A$1:$A$1001,customers!$G$1:$G$1001,,0)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8">
        <f>INDEX(products!$A$1:$G$49,MATCH(orders!$D209,products!$A$1:$A$49,0),MATCH(orders!L$1,products!$A$1:$G$1,0))</f>
        <v>6.75</v>
      </c>
      <c r="M209" s="9">
        <f t="shared" si="9"/>
        <v>40.5</v>
      </c>
      <c r="N209" t="str">
        <f t="shared" si="10"/>
        <v>Arabica</v>
      </c>
      <c r="O209" t="str">
        <f t="shared" si="11"/>
        <v>Mediium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_xlfn.XLOOKUP(orders!C210,customers!$A$1:$A$1001,customers!$G$1:$G$1001,,0)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8">
        <f>INDEX(products!$A$1:$G$49,MATCH(orders!$D210,products!$A$1:$A$49,0),MATCH(orders!L$1,products!$A$1:$G$1,0))</f>
        <v>7.29</v>
      </c>
      <c r="M210" s="9">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_xlfn.XLOOKUP(orders!C211,customers!$A$1:$A$1001,customers!$G$1:$G$1001,,0)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8">
        <f>INDEX(products!$A$1:$G$49,MATCH(orders!$D211,products!$A$1:$A$49,0),MATCH(orders!L$1,products!$A$1:$G$1,0))</f>
        <v>6.75</v>
      </c>
      <c r="M211" s="9">
        <f t="shared" si="9"/>
        <v>6.75</v>
      </c>
      <c r="N211" t="str">
        <f t="shared" si="10"/>
        <v>Arabica</v>
      </c>
      <c r="O211" t="str">
        <f t="shared" si="11"/>
        <v>Mediium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_xlfn.XLOOKUP(orders!C212,customers!$A$1:$A$1001,customers!$G$1:$G$1001,,0)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8">
        <f>INDEX(products!$A$1:$G$49,MATCH(orders!$D212,products!$A$1:$A$49,0),MATCH(orders!L$1,products!$A$1:$G$1,0))</f>
        <v>12.95</v>
      </c>
      <c r="M212" s="9">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_xlfn.XLOOKUP(orders!C213,customers!$A$1:$A$1001,customers!$G$1:$G$1001,,0)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8">
        <f>INDEX(products!$A$1:$G$49,MATCH(orders!$D213,products!$A$1:$A$49,0),MATCH(orders!L$1,products!$A$1:$G$1,0))</f>
        <v>8.91</v>
      </c>
      <c r="M213" s="9">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_xlfn.XLOOKUP(orders!C214,customers!$A$1:$A$1001,customers!$G$1:$G$1001,,0)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8">
        <f>INDEX(products!$A$1:$G$49,MATCH(orders!$D214,products!$A$1:$A$49,0),MATCH(orders!L$1,products!$A$1:$G$1,0))</f>
        <v>3.645</v>
      </c>
      <c r="M214" s="9">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_xlfn.XLOOKUP(orders!C215,customers!$A$1:$A$1001,customers!$G$1:$G$1001,,0)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8">
        <f>INDEX(products!$A$1:$G$49,MATCH(orders!$D215,products!$A$1:$A$49,0),MATCH(orders!L$1,products!$A$1:$G$1,0))</f>
        <v>20.584999999999997</v>
      </c>
      <c r="M215" s="9">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_xlfn.XLOOKUP(orders!C216,customers!$A$1:$A$1001,customers!$G$1:$G$1001,,0)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8">
        <f>INDEX(products!$A$1:$G$49,MATCH(orders!$D216,products!$A$1:$A$49,0),MATCH(orders!L$1,products!$A$1:$G$1,0))</f>
        <v>15.85</v>
      </c>
      <c r="M216" s="9">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_xlfn.XLOOKUP(orders!C217,customers!$A$1:$A$1001,customers!$G$1:$G$1001,,0)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8">
        <f>INDEX(products!$A$1:$G$49,MATCH(orders!$D217,products!$A$1:$A$49,0),MATCH(orders!L$1,products!$A$1:$G$1,0))</f>
        <v>3.8849999999999998</v>
      </c>
      <c r="M217" s="9">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_xlfn.XLOOKUP(orders!C218,customers!$A$1:$A$1001,customers!$G$1:$G$1001,,0)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8">
        <f>INDEX(products!$A$1:$G$49,MATCH(orders!$D218,products!$A$1:$A$49,0),MATCH(orders!L$1,products!$A$1:$G$1,0))</f>
        <v>14.55</v>
      </c>
      <c r="M218" s="9">
        <f t="shared" si="9"/>
        <v>58.2</v>
      </c>
      <c r="N218" t="str">
        <f t="shared" si="10"/>
        <v>Liberica</v>
      </c>
      <c r="O218" t="str">
        <f t="shared" si="11"/>
        <v>Mediium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_xlfn.XLOOKUP(orders!C219,customers!$A$1:$A$1001,customers!$G$1:$G$1001,,0)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8">
        <f>INDEX(products!$A$1:$G$49,MATCH(orders!$D219,products!$A$1:$A$49,0),MATCH(orders!L$1,products!$A$1:$G$1,0))</f>
        <v>8.91</v>
      </c>
      <c r="M219" s="9">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_xlfn.XLOOKUP(orders!C220,customers!$A$1:$A$1001,customers!$G$1:$G$1001,,0)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8">
        <f>INDEX(products!$A$1:$G$49,MATCH(orders!$D220,products!$A$1:$A$49,0),MATCH(orders!L$1,products!$A$1:$G$1,0))</f>
        <v>11.25</v>
      </c>
      <c r="M220" s="9">
        <f t="shared" si="9"/>
        <v>56.25</v>
      </c>
      <c r="N220" t="str">
        <f t="shared" si="10"/>
        <v>Arabica</v>
      </c>
      <c r="O220" t="str">
        <f t="shared" si="11"/>
        <v>Mediium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_xlfn.XLOOKUP(orders!C221,customers!$A$1:$A$1001,customers!$G$1:$G$1001,,0)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8">
        <f>INDEX(products!$A$1:$G$49,MATCH(orders!$D221,products!$A$1:$A$49,0),MATCH(orders!L$1,products!$A$1:$G$1,0))</f>
        <v>3.5849999999999995</v>
      </c>
      <c r="M221" s="9">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_xlfn.XLOOKUP(orders!C222,customers!$A$1:$A$1001,customers!$G$1:$G$1001,,0)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8">
        <f>INDEX(products!$A$1:$G$49,MATCH(orders!$D222,products!$A$1:$A$49,0),MATCH(orders!L$1,products!$A$1:$G$1,0))</f>
        <v>2.9849999999999999</v>
      </c>
      <c r="M222" s="9">
        <f t="shared" si="9"/>
        <v>14.924999999999999</v>
      </c>
      <c r="N222" t="str">
        <f t="shared" si="10"/>
        <v>Robusta</v>
      </c>
      <c r="O222" t="str">
        <f t="shared" si="11"/>
        <v>Mediium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_xlfn.XLOOKUP(orders!C223,customers!$A$1:$A$1001,customers!$G$1:$G$1001,,0)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8">
        <f>INDEX(products!$A$1:$G$49,MATCH(orders!$D223,products!$A$1:$A$49,0),MATCH(orders!L$1,products!$A$1:$G$1,0))</f>
        <v>12.95</v>
      </c>
      <c r="M223" s="9">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_xlfn.XLOOKUP(orders!C224,customers!$A$1:$A$1001,customers!$G$1:$G$1001,,0)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8">
        <f>INDEX(products!$A$1:$G$49,MATCH(orders!$D224,products!$A$1:$A$49,0),MATCH(orders!L$1,products!$A$1:$G$1,0))</f>
        <v>7.77</v>
      </c>
      <c r="M224" s="9">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_xlfn.XLOOKUP(orders!C225,customers!$A$1:$A$1001,customers!$G$1:$G$1001,,0)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8">
        <f>INDEX(products!$A$1:$G$49,MATCH(orders!$D225,products!$A$1:$A$49,0),MATCH(orders!L$1,products!$A$1:$G$1,0))</f>
        <v>14.85</v>
      </c>
      <c r="M225" s="9">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_xlfn.XLOOKUP(orders!C226,customers!$A$1:$A$1001,customers!$G$1:$G$1001,,0)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8">
        <f>INDEX(products!$A$1:$G$49,MATCH(orders!$D226,products!$A$1:$A$49,0),MATCH(orders!L$1,products!$A$1:$G$1,0))</f>
        <v>29.784999999999997</v>
      </c>
      <c r="M226" s="9">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_xlfn.XLOOKUP(orders!C227,customers!$A$1:$A$1001,customers!$G$1:$G$1001,,0)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8">
        <f>INDEX(products!$A$1:$G$49,MATCH(orders!$D227,products!$A$1:$A$49,0),MATCH(orders!L$1,products!$A$1:$G$1,0))</f>
        <v>3.5849999999999995</v>
      </c>
      <c r="M227" s="9">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_xlfn.XLOOKUP(orders!C228,customers!$A$1:$A$1001,customers!$G$1:$G$1001,,0)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8">
        <f>INDEX(products!$A$1:$G$49,MATCH(orders!$D228,products!$A$1:$A$49,0),MATCH(orders!L$1,products!$A$1:$G$1,0))</f>
        <v>25.874999999999996</v>
      </c>
      <c r="M228" s="9">
        <f t="shared" si="9"/>
        <v>129.37499999999997</v>
      </c>
      <c r="N228" t="str">
        <f t="shared" si="10"/>
        <v>Arabica</v>
      </c>
      <c r="O228" t="str">
        <f t="shared" si="11"/>
        <v>Mediium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_xlfn.XLOOKUP(orders!C229,customers!$A$1:$A$1001,customers!$G$1:$G$1001,,0)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8">
        <f>INDEX(products!$A$1:$G$49,MATCH(orders!$D229,products!$A$1:$A$49,0),MATCH(orders!L$1,products!$A$1:$G$1,0))</f>
        <v>2.6849999999999996</v>
      </c>
      <c r="M229" s="9">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_xlfn.XLOOKUP(orders!C230,customers!$A$1:$A$1001,customers!$G$1:$G$1001,,0)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8">
        <f>INDEX(products!$A$1:$G$49,MATCH(orders!$D230,products!$A$1:$A$49,0),MATCH(orders!L$1,products!$A$1:$G$1,0))</f>
        <v>3.5849999999999995</v>
      </c>
      <c r="M230" s="9">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_xlfn.XLOOKUP(orders!C231,customers!$A$1:$A$1001,customers!$G$1:$G$1001,,0)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8">
        <f>INDEX(products!$A$1:$G$49,MATCH(orders!$D231,products!$A$1:$A$49,0),MATCH(orders!L$1,products!$A$1:$G$1,0))</f>
        <v>4.3650000000000002</v>
      </c>
      <c r="M231" s="9">
        <f t="shared" si="9"/>
        <v>8.73</v>
      </c>
      <c r="N231" t="str">
        <f t="shared" si="10"/>
        <v>Liberica</v>
      </c>
      <c r="O231" t="str">
        <f t="shared" si="11"/>
        <v>Mediium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_xlfn.XLOOKUP(orders!C232,customers!$A$1:$A$1001,customers!$G$1:$G$1001,,0)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8">
        <f>INDEX(products!$A$1:$G$49,MATCH(orders!$D232,products!$A$1:$A$49,0),MATCH(orders!L$1,products!$A$1:$G$1,0))</f>
        <v>25.874999999999996</v>
      </c>
      <c r="M232" s="9">
        <f t="shared" si="9"/>
        <v>51.749999999999993</v>
      </c>
      <c r="N232" t="str">
        <f t="shared" si="10"/>
        <v>Arabica</v>
      </c>
      <c r="O232" t="str">
        <f t="shared" si="11"/>
        <v>Mediium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_xlfn.XLOOKUP(orders!C233,customers!$A$1:$A$1001,customers!$G$1:$G$1001,,0)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8">
        <f>INDEX(products!$A$1:$G$49,MATCH(orders!$D233,products!$A$1:$A$49,0),MATCH(orders!L$1,products!$A$1:$G$1,0))</f>
        <v>4.3650000000000002</v>
      </c>
      <c r="M233" s="9">
        <f t="shared" si="9"/>
        <v>8.73</v>
      </c>
      <c r="N233" t="str">
        <f t="shared" si="10"/>
        <v>Liberica</v>
      </c>
      <c r="O233" t="str">
        <f t="shared" si="11"/>
        <v>Mediium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_xlfn.XLOOKUP(orders!C234,customers!$A$1:$A$1001,customers!$G$1:$G$1001,,0)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8">
        <f>INDEX(products!$A$1:$G$49,MATCH(orders!$D234,products!$A$1:$A$49,0),MATCH(orders!L$1,products!$A$1:$G$1,0))</f>
        <v>4.7549999999999999</v>
      </c>
      <c r="M234" s="9">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_xlfn.XLOOKUP(orders!C235,customers!$A$1:$A$1001,customers!$G$1:$G$1001,,0)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8">
        <f>INDEX(products!$A$1:$G$49,MATCH(orders!$D235,products!$A$1:$A$49,0),MATCH(orders!L$1,products!$A$1:$G$1,0))</f>
        <v>4.125</v>
      </c>
      <c r="M235" s="9">
        <f t="shared" si="9"/>
        <v>20.625</v>
      </c>
      <c r="N235" t="str">
        <f t="shared" si="10"/>
        <v>Excelsa</v>
      </c>
      <c r="O235" t="str">
        <f t="shared" si="11"/>
        <v>Mediium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_xlfn.XLOOKUP(orders!C236,customers!$A$1:$A$1001,customers!$G$1:$G$1001,,0)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8">
        <f>INDEX(products!$A$1:$G$49,MATCH(orders!$D236,products!$A$1:$A$49,0),MATCH(orders!L$1,products!$A$1:$G$1,0))</f>
        <v>36.454999999999998</v>
      </c>
      <c r="M236" s="9">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_xlfn.XLOOKUP(orders!C237,customers!$A$1:$A$1001,customers!$G$1:$G$1001,,0)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8">
        <f>INDEX(products!$A$1:$G$49,MATCH(orders!$D237,products!$A$1:$A$49,0),MATCH(orders!L$1,products!$A$1:$G$1,0))</f>
        <v>36.454999999999998</v>
      </c>
      <c r="M237" s="9">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_xlfn.XLOOKUP(orders!C238,customers!$A$1:$A$1001,customers!$G$1:$G$1001,,0)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8">
        <f>INDEX(products!$A$1:$G$49,MATCH(orders!$D238,products!$A$1:$A$49,0),MATCH(orders!L$1,products!$A$1:$G$1,0))</f>
        <v>29.784999999999997</v>
      </c>
      <c r="M238" s="9">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_xlfn.XLOOKUP(orders!C239,customers!$A$1:$A$1001,customers!$G$1:$G$1001,,0)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8">
        <f>INDEX(products!$A$1:$G$49,MATCH(orders!$D239,products!$A$1:$A$49,0),MATCH(orders!L$1,products!$A$1:$G$1,0))</f>
        <v>3.5849999999999995</v>
      </c>
      <c r="M239" s="9">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_xlfn.XLOOKUP(orders!C240,customers!$A$1:$A$1001,customers!$G$1:$G$1001,,0)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8">
        <f>INDEX(products!$A$1:$G$49,MATCH(orders!$D240,products!$A$1:$A$49,0),MATCH(orders!L$1,products!$A$1:$G$1,0))</f>
        <v>22.884999999999998</v>
      </c>
      <c r="M240" s="9">
        <f t="shared" si="9"/>
        <v>45.769999999999996</v>
      </c>
      <c r="N240" t="str">
        <f t="shared" si="10"/>
        <v>Robusta</v>
      </c>
      <c r="O240" t="str">
        <f t="shared" si="11"/>
        <v>Mediium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_xlfn.XLOOKUP(orders!C241,customers!$A$1:$A$1001,customers!$G$1:$G$1001,,0)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8">
        <f>INDEX(products!$A$1:$G$49,MATCH(orders!$D241,products!$A$1:$A$49,0),MATCH(orders!L$1,products!$A$1:$G$1,0))</f>
        <v>14.85</v>
      </c>
      <c r="M241" s="9">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_xlfn.XLOOKUP(orders!C242,customers!$A$1:$A$1001,customers!$G$1:$G$1001,,0)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8">
        <f>INDEX(products!$A$1:$G$49,MATCH(orders!$D242,products!$A$1:$A$49,0),MATCH(orders!L$1,products!$A$1:$G$1,0))</f>
        <v>25.874999999999996</v>
      </c>
      <c r="M242" s="9">
        <f t="shared" si="9"/>
        <v>155.24999999999997</v>
      </c>
      <c r="N242" t="str">
        <f t="shared" si="10"/>
        <v>Arabica</v>
      </c>
      <c r="O242" t="str">
        <f t="shared" si="11"/>
        <v>Mediium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_xlfn.XLOOKUP(orders!C243,customers!$A$1:$A$1001,customers!$G$1:$G$1001,,0)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8">
        <f>INDEX(products!$A$1:$G$49,MATCH(orders!$D243,products!$A$1:$A$49,0),MATCH(orders!L$1,products!$A$1:$G$1,0))</f>
        <v>22.884999999999998</v>
      </c>
      <c r="M243" s="9">
        <f t="shared" si="9"/>
        <v>45.769999999999996</v>
      </c>
      <c r="N243" t="str">
        <f t="shared" si="10"/>
        <v>Robusta</v>
      </c>
      <c r="O243" t="str">
        <f t="shared" si="11"/>
        <v>Mediium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_xlfn.XLOOKUP(orders!C244,customers!$A$1:$A$1001,customers!$G$1:$G$1001,,0)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8">
        <f>INDEX(products!$A$1:$G$49,MATCH(orders!$D244,products!$A$1:$A$49,0),MATCH(orders!L$1,products!$A$1:$G$1,0))</f>
        <v>12.15</v>
      </c>
      <c r="M244" s="9">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_xlfn.XLOOKUP(orders!C245,customers!$A$1:$A$1001,customers!$G$1:$G$1001,,0)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8">
        <f>INDEX(products!$A$1:$G$49,MATCH(orders!$D245,products!$A$1:$A$49,0),MATCH(orders!L$1,products!$A$1:$G$1,0))</f>
        <v>7.29</v>
      </c>
      <c r="M245" s="9">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_xlfn.XLOOKUP(orders!C246,customers!$A$1:$A$1001,customers!$G$1:$G$1001,,0)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8">
        <f>INDEX(products!$A$1:$G$49,MATCH(orders!$D246,products!$A$1:$A$49,0),MATCH(orders!L$1,products!$A$1:$G$1,0))</f>
        <v>33.464999999999996</v>
      </c>
      <c r="M246" s="9">
        <f t="shared" si="9"/>
        <v>133.85999999999999</v>
      </c>
      <c r="N246" t="str">
        <f t="shared" si="10"/>
        <v>Liberica</v>
      </c>
      <c r="O246" t="str">
        <f t="shared" si="11"/>
        <v>Mediium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_xlfn.XLOOKUP(orders!C247,customers!$A$1:$A$1001,customers!$G$1:$G$1001,,0)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8">
        <f>INDEX(products!$A$1:$G$49,MATCH(orders!$D247,products!$A$1:$A$49,0),MATCH(orders!L$1,products!$A$1:$G$1,0))</f>
        <v>4.7549999999999999</v>
      </c>
      <c r="M247" s="9">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_xlfn.XLOOKUP(orders!C248,customers!$A$1:$A$1001,customers!$G$1:$G$1001,,0)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8">
        <f>INDEX(products!$A$1:$G$49,MATCH(orders!$D248,products!$A$1:$A$49,0),MATCH(orders!L$1,products!$A$1:$G$1,0))</f>
        <v>12.95</v>
      </c>
      <c r="M248" s="9">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_xlfn.XLOOKUP(orders!C249,customers!$A$1:$A$1001,customers!$G$1:$G$1001,,0)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8">
        <f>INDEX(products!$A$1:$G$49,MATCH(orders!$D249,products!$A$1:$A$49,0),MATCH(orders!L$1,products!$A$1:$G$1,0))</f>
        <v>3.5849999999999995</v>
      </c>
      <c r="M249" s="9">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_xlfn.XLOOKUP(orders!C250,customers!$A$1:$A$1001,customers!$G$1:$G$1001,,0)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8">
        <f>INDEX(products!$A$1:$G$49,MATCH(orders!$D250,products!$A$1:$A$49,0),MATCH(orders!L$1,products!$A$1:$G$1,0))</f>
        <v>9.9499999999999993</v>
      </c>
      <c r="M250" s="9">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_xlfn.XLOOKUP(orders!C251,customers!$A$1:$A$1001,customers!$G$1:$G$1001,,0)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8">
        <f>INDEX(products!$A$1:$G$49,MATCH(orders!$D251,products!$A$1:$A$49,0),MATCH(orders!L$1,products!$A$1:$G$1,0))</f>
        <v>15.85</v>
      </c>
      <c r="M251" s="9">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_xlfn.XLOOKUP(orders!C252,customers!$A$1:$A$1001,customers!$G$1:$G$1001,,0)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8">
        <f>INDEX(products!$A$1:$G$49,MATCH(orders!$D252,products!$A$1:$A$49,0),MATCH(orders!L$1,products!$A$1:$G$1,0))</f>
        <v>2.9849999999999999</v>
      </c>
      <c r="M252" s="9">
        <f t="shared" si="9"/>
        <v>2.9849999999999999</v>
      </c>
      <c r="N252" t="str">
        <f t="shared" si="10"/>
        <v>Robusta</v>
      </c>
      <c r="O252" t="str">
        <f t="shared" si="11"/>
        <v>Mediium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_xlfn.XLOOKUP(orders!C253,customers!$A$1:$A$1001,customers!$G$1:$G$1001,,0)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8">
        <f>INDEX(products!$A$1:$G$49,MATCH(orders!$D253,products!$A$1:$A$49,0),MATCH(orders!L$1,products!$A$1:$G$1,0))</f>
        <v>13.75</v>
      </c>
      <c r="M253" s="9">
        <f t="shared" si="9"/>
        <v>68.75</v>
      </c>
      <c r="N253" t="str">
        <f t="shared" si="10"/>
        <v>Excelsa</v>
      </c>
      <c r="O253" t="str">
        <f t="shared" si="11"/>
        <v>Mediium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_xlfn.XLOOKUP(orders!C254,customers!$A$1:$A$1001,customers!$G$1:$G$1001,,0)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8">
        <f>INDEX(products!$A$1:$G$49,MATCH(orders!$D254,products!$A$1:$A$49,0),MATCH(orders!L$1,products!$A$1:$G$1,0))</f>
        <v>9.9499999999999993</v>
      </c>
      <c r="M254" s="9">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_xlfn.XLOOKUP(orders!C255,customers!$A$1:$A$1001,customers!$G$1:$G$1001,,0)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8">
        <f>INDEX(products!$A$1:$G$49,MATCH(orders!$D255,products!$A$1:$A$49,0),MATCH(orders!L$1,products!$A$1:$G$1,0))</f>
        <v>14.55</v>
      </c>
      <c r="M255" s="9">
        <f t="shared" si="9"/>
        <v>58.2</v>
      </c>
      <c r="N255" t="str">
        <f t="shared" si="10"/>
        <v>Liberica</v>
      </c>
      <c r="O255" t="str">
        <f t="shared" si="11"/>
        <v>Mediium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_xlfn.XLOOKUP(orders!C256,customers!$A$1:$A$1001,customers!$G$1:$G$1001,,0)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8">
        <f>INDEX(products!$A$1:$G$49,MATCH(orders!$D256,products!$A$1:$A$49,0),MATCH(orders!L$1,products!$A$1:$G$1,0))</f>
        <v>7.169999999999999</v>
      </c>
      <c r="M256" s="9">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_xlfn.XLOOKUP(orders!C257,customers!$A$1:$A$1001,customers!$G$1:$G$1001,,0)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8">
        <f>INDEX(products!$A$1:$G$49,MATCH(orders!$D257,products!$A$1:$A$49,0),MATCH(orders!L$1,products!$A$1:$G$1,0))</f>
        <v>7.169999999999999</v>
      </c>
      <c r="M257" s="9">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_xlfn.XLOOKUP(orders!C258,customers!$A$1:$A$1001,customers!$G$1:$G$1001,,0)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8">
        <f>INDEX(products!$A$1:$G$49,MATCH(orders!$D258,products!$A$1:$A$49,0),MATCH(orders!L$1,products!$A$1:$G$1,0))</f>
        <v>8.73</v>
      </c>
      <c r="M258" s="9">
        <f t="shared" si="9"/>
        <v>17.46</v>
      </c>
      <c r="N258" t="str">
        <f t="shared" si="10"/>
        <v>Liberica</v>
      </c>
      <c r="O258" t="str">
        <f t="shared" si="11"/>
        <v>Mediium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_xlfn.XLOOKUP(orders!C259,customers!$A$1:$A$1001,customers!$G$1:$G$1001,,0)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8">
        <f>INDEX(products!$A$1:$G$49,MATCH(orders!$D259,products!$A$1:$A$49,0),MATCH(orders!L$1,products!$A$1:$G$1,0))</f>
        <v>27.945</v>
      </c>
      <c r="M259" s="9">
        <f t="shared" ref="M259:M322" si="12">L259*E259</f>
        <v>27.945</v>
      </c>
      <c r="N259" t="str">
        <f t="shared" ref="N259:N322" si="13">IF(I259="Rob","Robusta",IF(I259="exc","Excelsa",IF(I259="ara","Arabica",IF(I259="Lib","Liberica",""))))</f>
        <v>Excelsa</v>
      </c>
      <c r="O259" t="str">
        <f t="shared" ref="O259:O322" si="14">IF(J259="m","Mediium",IF(J259="l","Light",IF(J259="d","Dark","")))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_xlfn.XLOOKUP(orders!C260,customers!$A$1:$A$1001,customers!$G$1:$G$1001,,0)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8">
        <f>INDEX(products!$A$1:$G$49,MATCH(orders!$D260,products!$A$1:$A$49,0),MATCH(orders!L$1,products!$A$1:$G$1,0))</f>
        <v>27.945</v>
      </c>
      <c r="M260" s="9">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_xlfn.XLOOKUP(orders!C261,customers!$A$1:$A$1001,customers!$G$1:$G$1001,,0)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8">
        <f>INDEX(products!$A$1:$G$49,MATCH(orders!$D261,products!$A$1:$A$49,0),MATCH(orders!L$1,products!$A$1:$G$1,0))</f>
        <v>2.9849999999999999</v>
      </c>
      <c r="M261" s="9">
        <f t="shared" si="12"/>
        <v>5.97</v>
      </c>
      <c r="N261" t="str">
        <f t="shared" si="13"/>
        <v>Robusta</v>
      </c>
      <c r="O261" t="str">
        <f t="shared" si="14"/>
        <v>Mediium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_xlfn.XLOOKUP(orders!C262,customers!$A$1:$A$1001,customers!$G$1:$G$1001,,0)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8">
        <f>INDEX(products!$A$1:$G$49,MATCH(orders!$D262,products!$A$1:$A$49,0),MATCH(orders!L$1,products!$A$1:$G$1,0))</f>
        <v>27.484999999999996</v>
      </c>
      <c r="M262" s="9">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_xlfn.XLOOKUP(orders!C263,customers!$A$1:$A$1001,customers!$G$1:$G$1001,,0)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8">
        <f>INDEX(products!$A$1:$G$49,MATCH(orders!$D263,products!$A$1:$A$49,0),MATCH(orders!L$1,products!$A$1:$G$1,0))</f>
        <v>11.95</v>
      </c>
      <c r="M263" s="9">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_xlfn.XLOOKUP(orders!C264,customers!$A$1:$A$1001,customers!$G$1:$G$1001,,0)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8">
        <f>INDEX(products!$A$1:$G$49,MATCH(orders!$D264,products!$A$1:$A$49,0),MATCH(orders!L$1,products!$A$1:$G$1,0))</f>
        <v>13.75</v>
      </c>
      <c r="M264" s="9">
        <f t="shared" si="12"/>
        <v>41.25</v>
      </c>
      <c r="N264" t="str">
        <f t="shared" si="13"/>
        <v>Excelsa</v>
      </c>
      <c r="O264" t="str">
        <f t="shared" si="14"/>
        <v>Mediium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_xlfn.XLOOKUP(orders!C265,customers!$A$1:$A$1001,customers!$G$1:$G$1001,,0)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8">
        <f>INDEX(products!$A$1:$G$49,MATCH(orders!$D265,products!$A$1:$A$49,0),MATCH(orders!L$1,products!$A$1:$G$1,0))</f>
        <v>33.464999999999996</v>
      </c>
      <c r="M265" s="9">
        <f t="shared" si="12"/>
        <v>133.85999999999999</v>
      </c>
      <c r="N265" t="str">
        <f t="shared" si="13"/>
        <v>Liberica</v>
      </c>
      <c r="O265" t="str">
        <f t="shared" si="14"/>
        <v>Mediium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_xlfn.XLOOKUP(orders!C266,customers!$A$1:$A$1001,customers!$G$1:$G$1001,,0)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8">
        <f>INDEX(products!$A$1:$G$49,MATCH(orders!$D266,products!$A$1:$A$49,0),MATCH(orders!L$1,products!$A$1:$G$1,0))</f>
        <v>11.95</v>
      </c>
      <c r="M266" s="9">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_xlfn.XLOOKUP(orders!C267,customers!$A$1:$A$1001,customers!$G$1:$G$1001,,0)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8">
        <f>INDEX(products!$A$1:$G$49,MATCH(orders!$D267,products!$A$1:$A$49,0),MATCH(orders!L$1,products!$A$1:$G$1,0))</f>
        <v>5.97</v>
      </c>
      <c r="M267" s="9">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_xlfn.XLOOKUP(orders!C268,customers!$A$1:$A$1001,customers!$G$1:$G$1001,,0)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8">
        <f>INDEX(products!$A$1:$G$49,MATCH(orders!$D268,products!$A$1:$A$49,0),MATCH(orders!L$1,products!$A$1:$G$1,0))</f>
        <v>12.15</v>
      </c>
      <c r="M268" s="9">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_xlfn.XLOOKUP(orders!C269,customers!$A$1:$A$1001,customers!$G$1:$G$1001,,0)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8">
        <f>INDEX(products!$A$1:$G$49,MATCH(orders!$D269,products!$A$1:$A$49,0),MATCH(orders!L$1,products!$A$1:$G$1,0))</f>
        <v>3.645</v>
      </c>
      <c r="M269" s="9">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_xlfn.XLOOKUP(orders!C270,customers!$A$1:$A$1001,customers!$G$1:$G$1001,,0)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8">
        <f>INDEX(products!$A$1:$G$49,MATCH(orders!$D270,products!$A$1:$A$49,0),MATCH(orders!L$1,products!$A$1:$G$1,0))</f>
        <v>9.9499999999999993</v>
      </c>
      <c r="M270" s="9">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_xlfn.XLOOKUP(orders!C271,customers!$A$1:$A$1001,customers!$G$1:$G$1001,,0)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8">
        <f>INDEX(products!$A$1:$G$49,MATCH(orders!$D271,products!$A$1:$A$49,0),MATCH(orders!L$1,products!$A$1:$G$1,0))</f>
        <v>2.9849999999999999</v>
      </c>
      <c r="M271" s="9">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_xlfn.XLOOKUP(orders!C272,customers!$A$1:$A$1001,customers!$G$1:$G$1001,,0)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8">
        <f>INDEX(products!$A$1:$G$49,MATCH(orders!$D272,products!$A$1:$A$49,0),MATCH(orders!L$1,products!$A$1:$G$1,0))</f>
        <v>7.29</v>
      </c>
      <c r="M272" s="9">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_xlfn.XLOOKUP(orders!C273,customers!$A$1:$A$1001,customers!$G$1:$G$1001,,0)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8">
        <f>INDEX(products!$A$1:$G$49,MATCH(orders!$D273,products!$A$1:$A$49,0),MATCH(orders!L$1,products!$A$1:$G$1,0))</f>
        <v>2.9849999999999999</v>
      </c>
      <c r="M273" s="9">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_xlfn.XLOOKUP(orders!C274,customers!$A$1:$A$1001,customers!$G$1:$G$1001,,0)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8">
        <f>INDEX(products!$A$1:$G$49,MATCH(orders!$D274,products!$A$1:$A$49,0),MATCH(orders!L$1,products!$A$1:$G$1,0))</f>
        <v>11.95</v>
      </c>
      <c r="M274" s="9">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_xlfn.XLOOKUP(orders!C275,customers!$A$1:$A$1001,customers!$G$1:$G$1001,,0)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8">
        <f>INDEX(products!$A$1:$G$49,MATCH(orders!$D275,products!$A$1:$A$49,0),MATCH(orders!L$1,products!$A$1:$G$1,0))</f>
        <v>3.8849999999999998</v>
      </c>
      <c r="M275" s="9">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_xlfn.XLOOKUP(orders!C276,customers!$A$1:$A$1001,customers!$G$1:$G$1001,,0)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8">
        <f>INDEX(products!$A$1:$G$49,MATCH(orders!$D276,products!$A$1:$A$49,0),MATCH(orders!L$1,products!$A$1:$G$1,0))</f>
        <v>25.874999999999996</v>
      </c>
      <c r="M276" s="9">
        <f t="shared" si="12"/>
        <v>25.874999999999996</v>
      </c>
      <c r="N276" t="str">
        <f t="shared" si="13"/>
        <v>Arabica</v>
      </c>
      <c r="O276" t="str">
        <f t="shared" si="14"/>
        <v>Mediium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_xlfn.XLOOKUP(orders!C277,customers!$A$1:$A$1001,customers!$G$1:$G$1001,,0)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8">
        <f>INDEX(products!$A$1:$G$49,MATCH(orders!$D277,products!$A$1:$A$49,0),MATCH(orders!L$1,products!$A$1:$G$1,0))</f>
        <v>34.154999999999994</v>
      </c>
      <c r="M277" s="9">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_xlfn.XLOOKUP(orders!C278,customers!$A$1:$A$1001,customers!$G$1:$G$1001,,0)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8">
        <f>INDEX(products!$A$1:$G$49,MATCH(orders!$D278,products!$A$1:$A$49,0),MATCH(orders!L$1,products!$A$1:$G$1,0))</f>
        <v>27.484999999999996</v>
      </c>
      <c r="M278" s="9">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_xlfn.XLOOKUP(orders!C279,customers!$A$1:$A$1001,customers!$G$1:$G$1001,,0)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8">
        <f>INDEX(products!$A$1:$G$49,MATCH(orders!$D279,products!$A$1:$A$49,0),MATCH(orders!L$1,products!$A$1:$G$1,0))</f>
        <v>14.85</v>
      </c>
      <c r="M279" s="9">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_xlfn.XLOOKUP(orders!C280,customers!$A$1:$A$1001,customers!$G$1:$G$1001,,0)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8">
        <f>INDEX(products!$A$1:$G$49,MATCH(orders!$D280,products!$A$1:$A$49,0),MATCH(orders!L$1,products!$A$1:$G$1,0))</f>
        <v>3.8849999999999998</v>
      </c>
      <c r="M280" s="9">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_xlfn.XLOOKUP(orders!C281,customers!$A$1:$A$1001,customers!$G$1:$G$1001,,0)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8">
        <f>INDEX(products!$A$1:$G$49,MATCH(orders!$D281,products!$A$1:$A$49,0),MATCH(orders!L$1,products!$A$1:$G$1,0))</f>
        <v>33.464999999999996</v>
      </c>
      <c r="M281" s="9">
        <f t="shared" si="12"/>
        <v>33.464999999999996</v>
      </c>
      <c r="N281" t="str">
        <f t="shared" si="13"/>
        <v>Liberica</v>
      </c>
      <c r="O281" t="str">
        <f t="shared" si="14"/>
        <v>Mediium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_xlfn.XLOOKUP(orders!C282,customers!$A$1:$A$1001,customers!$G$1:$G$1001,,0)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8">
        <f>INDEX(products!$A$1:$G$49,MATCH(orders!$D282,products!$A$1:$A$49,0),MATCH(orders!L$1,products!$A$1:$G$1,0))</f>
        <v>8.25</v>
      </c>
      <c r="M282" s="9">
        <f t="shared" si="12"/>
        <v>41.25</v>
      </c>
      <c r="N282" t="str">
        <f t="shared" si="13"/>
        <v>Excelsa</v>
      </c>
      <c r="O282" t="str">
        <f t="shared" si="14"/>
        <v>Mediium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_xlfn.XLOOKUP(orders!C283,customers!$A$1:$A$1001,customers!$G$1:$G$1001,,0)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8">
        <f>INDEX(products!$A$1:$G$49,MATCH(orders!$D283,products!$A$1:$A$49,0),MATCH(orders!L$1,products!$A$1:$G$1,0))</f>
        <v>14.85</v>
      </c>
      <c r="M283" s="9">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_xlfn.XLOOKUP(orders!C284,customers!$A$1:$A$1001,customers!$G$1:$G$1001,,0)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8">
        <f>INDEX(products!$A$1:$G$49,MATCH(orders!$D284,products!$A$1:$A$49,0),MATCH(orders!L$1,products!$A$1:$G$1,0))</f>
        <v>7.77</v>
      </c>
      <c r="M284" s="9">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_xlfn.XLOOKUP(orders!C285,customers!$A$1:$A$1001,customers!$G$1:$G$1001,,0)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8">
        <f>INDEX(products!$A$1:$G$49,MATCH(orders!$D285,products!$A$1:$A$49,0),MATCH(orders!L$1,products!$A$1:$G$1,0))</f>
        <v>5.3699999999999992</v>
      </c>
      <c r="M285" s="9">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_xlfn.XLOOKUP(orders!C286,customers!$A$1:$A$1001,customers!$G$1:$G$1001,,0)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8">
        <f>INDEX(products!$A$1:$G$49,MATCH(orders!$D286,products!$A$1:$A$49,0),MATCH(orders!L$1,products!$A$1:$G$1,0))</f>
        <v>31.624999999999996</v>
      </c>
      <c r="M286" s="9">
        <f t="shared" si="12"/>
        <v>94.874999999999986</v>
      </c>
      <c r="N286" t="str">
        <f t="shared" si="13"/>
        <v>Excelsa</v>
      </c>
      <c r="O286" t="str">
        <f t="shared" si="14"/>
        <v>Mediium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_xlfn.XLOOKUP(orders!C287,customers!$A$1:$A$1001,customers!$G$1:$G$1001,,0)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8">
        <f>INDEX(products!$A$1:$G$49,MATCH(orders!$D287,products!$A$1:$A$49,0),MATCH(orders!L$1,products!$A$1:$G$1,0))</f>
        <v>36.454999999999998</v>
      </c>
      <c r="M287" s="9">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_xlfn.XLOOKUP(orders!C288,customers!$A$1:$A$1001,customers!$G$1:$G$1001,,0)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8">
        <f>INDEX(products!$A$1:$G$49,MATCH(orders!$D288,products!$A$1:$A$49,0),MATCH(orders!L$1,products!$A$1:$G$1,0))</f>
        <v>3.375</v>
      </c>
      <c r="M288" s="9">
        <f t="shared" si="12"/>
        <v>13.5</v>
      </c>
      <c r="N288" t="str">
        <f t="shared" si="13"/>
        <v>Arabica</v>
      </c>
      <c r="O288" t="str">
        <f t="shared" si="14"/>
        <v>Mediium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_xlfn.XLOOKUP(orders!C289,customers!$A$1:$A$1001,customers!$G$1:$G$1001,,0)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8">
        <f>INDEX(products!$A$1:$G$49,MATCH(orders!$D289,products!$A$1:$A$49,0),MATCH(orders!L$1,products!$A$1:$G$1,0))</f>
        <v>3.5849999999999995</v>
      </c>
      <c r="M289" s="9">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_xlfn.XLOOKUP(orders!C290,customers!$A$1:$A$1001,customers!$G$1:$G$1001,,0)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8">
        <f>INDEX(products!$A$1:$G$49,MATCH(orders!$D290,products!$A$1:$A$49,0),MATCH(orders!L$1,products!$A$1:$G$1,0))</f>
        <v>8.25</v>
      </c>
      <c r="M290" s="9">
        <f t="shared" si="12"/>
        <v>8.25</v>
      </c>
      <c r="N290" t="str">
        <f t="shared" si="13"/>
        <v>Excelsa</v>
      </c>
      <c r="O290" t="str">
        <f t="shared" si="14"/>
        <v>Mediium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_xlfn.XLOOKUP(orders!C291,customers!$A$1:$A$1001,customers!$G$1:$G$1001,,0)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8">
        <f>INDEX(products!$A$1:$G$49,MATCH(orders!$D291,products!$A$1:$A$49,0),MATCH(orders!L$1,products!$A$1:$G$1,0))</f>
        <v>2.6849999999999996</v>
      </c>
      <c r="M291" s="9">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_xlfn.XLOOKUP(orders!C292,customers!$A$1:$A$1001,customers!$G$1:$G$1001,,0)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8">
        <f>INDEX(products!$A$1:$G$49,MATCH(orders!$D292,products!$A$1:$A$49,0),MATCH(orders!L$1,products!$A$1:$G$1,0))</f>
        <v>9.9499999999999993</v>
      </c>
      <c r="M292" s="9">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_xlfn.XLOOKUP(orders!C293,customers!$A$1:$A$1001,customers!$G$1:$G$1001,,0)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8">
        <f>INDEX(products!$A$1:$G$49,MATCH(orders!$D293,products!$A$1:$A$49,0),MATCH(orders!L$1,products!$A$1:$G$1,0))</f>
        <v>8.25</v>
      </c>
      <c r="M293" s="9">
        <f t="shared" si="12"/>
        <v>16.5</v>
      </c>
      <c r="N293" t="str">
        <f t="shared" si="13"/>
        <v>Excelsa</v>
      </c>
      <c r="O293" t="str">
        <f t="shared" si="14"/>
        <v>Mediium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_xlfn.XLOOKUP(orders!C294,customers!$A$1:$A$1001,customers!$G$1:$G$1001,,0)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8">
        <f>INDEX(products!$A$1:$G$49,MATCH(orders!$D294,products!$A$1:$A$49,0),MATCH(orders!L$1,products!$A$1:$G$1,0))</f>
        <v>5.97</v>
      </c>
      <c r="M294" s="9">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_xlfn.XLOOKUP(orders!C295,customers!$A$1:$A$1001,customers!$G$1:$G$1001,,0)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8">
        <f>INDEX(products!$A$1:$G$49,MATCH(orders!$D295,products!$A$1:$A$49,0),MATCH(orders!L$1,products!$A$1:$G$1,0))</f>
        <v>5.97</v>
      </c>
      <c r="M295" s="9">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_xlfn.XLOOKUP(orders!C296,customers!$A$1:$A$1001,customers!$G$1:$G$1001,,0)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8">
        <f>INDEX(products!$A$1:$G$49,MATCH(orders!$D296,products!$A$1:$A$49,0),MATCH(orders!L$1,products!$A$1:$G$1,0))</f>
        <v>14.85</v>
      </c>
      <c r="M296" s="9">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_xlfn.XLOOKUP(orders!C297,customers!$A$1:$A$1001,customers!$G$1:$G$1001,,0)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8">
        <f>INDEX(products!$A$1:$G$49,MATCH(orders!$D297,products!$A$1:$A$49,0),MATCH(orders!L$1,products!$A$1:$G$1,0))</f>
        <v>13.75</v>
      </c>
      <c r="M297" s="9">
        <f t="shared" si="12"/>
        <v>27.5</v>
      </c>
      <c r="N297" t="str">
        <f t="shared" si="13"/>
        <v>Excelsa</v>
      </c>
      <c r="O297" t="str">
        <f t="shared" si="14"/>
        <v>Mediium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_xlfn.XLOOKUP(orders!C298,customers!$A$1:$A$1001,customers!$G$1:$G$1001,,0)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8">
        <f>INDEX(products!$A$1:$G$49,MATCH(orders!$D298,products!$A$1:$A$49,0),MATCH(orders!L$1,products!$A$1:$G$1,0))</f>
        <v>5.97</v>
      </c>
      <c r="M298" s="9">
        <f t="shared" si="12"/>
        <v>35.82</v>
      </c>
      <c r="N298" t="str">
        <f t="shared" si="13"/>
        <v>Robusta</v>
      </c>
      <c r="O298" t="str">
        <f t="shared" si="14"/>
        <v>Mediium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_xlfn.XLOOKUP(orders!C299,customers!$A$1:$A$1001,customers!$G$1:$G$1001,,0)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8">
        <f>INDEX(products!$A$1:$G$49,MATCH(orders!$D299,products!$A$1:$A$49,0),MATCH(orders!L$1,products!$A$1:$G$1,0))</f>
        <v>5.3699999999999992</v>
      </c>
      <c r="M299" s="9">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_xlfn.XLOOKUP(orders!C300,customers!$A$1:$A$1001,customers!$G$1:$G$1001,,0)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8">
        <f>INDEX(products!$A$1:$G$49,MATCH(orders!$D300,products!$A$1:$A$49,0),MATCH(orders!L$1,products!$A$1:$G$1,0))</f>
        <v>4.4550000000000001</v>
      </c>
      <c r="M300" s="9">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_xlfn.XLOOKUP(orders!C301,customers!$A$1:$A$1001,customers!$G$1:$G$1001,,0)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8">
        <f>INDEX(products!$A$1:$G$49,MATCH(orders!$D301,products!$A$1:$A$49,0),MATCH(orders!L$1,products!$A$1:$G$1,0))</f>
        <v>34.154999999999994</v>
      </c>
      <c r="M301" s="9">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_xlfn.XLOOKUP(orders!C302,customers!$A$1:$A$1001,customers!$G$1:$G$1001,,0)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8">
        <f>INDEX(products!$A$1:$G$49,MATCH(orders!$D302,products!$A$1:$A$49,0),MATCH(orders!L$1,products!$A$1:$G$1,0))</f>
        <v>12.95</v>
      </c>
      <c r="M302" s="9">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_xlfn.XLOOKUP(orders!C303,customers!$A$1:$A$1001,customers!$G$1:$G$1001,,0)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8">
        <f>INDEX(products!$A$1:$G$49,MATCH(orders!$D303,products!$A$1:$A$49,0),MATCH(orders!L$1,products!$A$1:$G$1,0))</f>
        <v>3.8849999999999998</v>
      </c>
      <c r="M303" s="9">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_xlfn.XLOOKUP(orders!C304,customers!$A$1:$A$1001,customers!$G$1:$G$1001,,0)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8">
        <f>INDEX(products!$A$1:$G$49,MATCH(orders!$D304,products!$A$1:$A$49,0),MATCH(orders!L$1,products!$A$1:$G$1,0))</f>
        <v>6.75</v>
      </c>
      <c r="M304" s="9">
        <f t="shared" si="12"/>
        <v>6.75</v>
      </c>
      <c r="N304" t="str">
        <f t="shared" si="13"/>
        <v>Arabica</v>
      </c>
      <c r="O304" t="str">
        <f t="shared" si="14"/>
        <v>Mediium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_xlfn.XLOOKUP(orders!C305,customers!$A$1:$A$1001,customers!$G$1:$G$1001,,0)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8">
        <f>INDEX(products!$A$1:$G$49,MATCH(orders!$D305,products!$A$1:$A$49,0),MATCH(orders!L$1,products!$A$1:$G$1,0))</f>
        <v>27.945</v>
      </c>
      <c r="M305" s="9">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_xlfn.XLOOKUP(orders!C306,customers!$A$1:$A$1001,customers!$G$1:$G$1001,,0)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8">
        <f>INDEX(products!$A$1:$G$49,MATCH(orders!$D306,products!$A$1:$A$49,0),MATCH(orders!L$1,products!$A$1:$G$1,0))</f>
        <v>3.8849999999999998</v>
      </c>
      <c r="M306" s="9">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_xlfn.XLOOKUP(orders!C307,customers!$A$1:$A$1001,customers!$G$1:$G$1001,,0)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8">
        <f>INDEX(products!$A$1:$G$49,MATCH(orders!$D307,products!$A$1:$A$49,0),MATCH(orders!L$1,products!$A$1:$G$1,0))</f>
        <v>4.3650000000000002</v>
      </c>
      <c r="M307" s="9">
        <f t="shared" si="12"/>
        <v>21.825000000000003</v>
      </c>
      <c r="N307" t="str">
        <f t="shared" si="13"/>
        <v>Liberica</v>
      </c>
      <c r="O307" t="str">
        <f t="shared" si="14"/>
        <v>Mediium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_xlfn.XLOOKUP(orders!C308,customers!$A$1:$A$1001,customers!$G$1:$G$1001,,0)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8">
        <f>INDEX(products!$A$1:$G$49,MATCH(orders!$D308,products!$A$1:$A$49,0),MATCH(orders!L$1,products!$A$1:$G$1,0))</f>
        <v>2.9849999999999999</v>
      </c>
      <c r="M308" s="9">
        <f t="shared" si="12"/>
        <v>14.924999999999999</v>
      </c>
      <c r="N308" t="str">
        <f t="shared" si="13"/>
        <v>Robusta</v>
      </c>
      <c r="O308" t="str">
        <f t="shared" si="14"/>
        <v>Mediium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_xlfn.XLOOKUP(orders!C309,customers!$A$1:$A$1001,customers!$G$1:$G$1001,,0)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8">
        <f>INDEX(products!$A$1:$G$49,MATCH(orders!$D309,products!$A$1:$A$49,0),MATCH(orders!L$1,products!$A$1:$G$1,0))</f>
        <v>11.25</v>
      </c>
      <c r="M309" s="9">
        <f t="shared" si="12"/>
        <v>33.75</v>
      </c>
      <c r="N309" t="str">
        <f t="shared" si="13"/>
        <v>Arabica</v>
      </c>
      <c r="O309" t="str">
        <f t="shared" si="14"/>
        <v>Mediium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_xlfn.XLOOKUP(orders!C310,customers!$A$1:$A$1001,customers!$G$1:$G$1001,,0)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8">
        <f>INDEX(products!$A$1:$G$49,MATCH(orders!$D310,products!$A$1:$A$49,0),MATCH(orders!L$1,products!$A$1:$G$1,0))</f>
        <v>11.25</v>
      </c>
      <c r="M310" s="9">
        <f t="shared" si="12"/>
        <v>33.75</v>
      </c>
      <c r="N310" t="str">
        <f t="shared" si="13"/>
        <v>Arabica</v>
      </c>
      <c r="O310" t="str">
        <f t="shared" si="14"/>
        <v>Mediium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_xlfn.XLOOKUP(orders!C311,customers!$A$1:$A$1001,customers!$G$1:$G$1001,,0)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8">
        <f>INDEX(products!$A$1:$G$49,MATCH(orders!$D311,products!$A$1:$A$49,0),MATCH(orders!L$1,products!$A$1:$G$1,0))</f>
        <v>4.3650000000000002</v>
      </c>
      <c r="M311" s="9">
        <f t="shared" si="12"/>
        <v>26.19</v>
      </c>
      <c r="N311" t="str">
        <f t="shared" si="13"/>
        <v>Liberica</v>
      </c>
      <c r="O311" t="str">
        <f t="shared" si="14"/>
        <v>Mediium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_xlfn.XLOOKUP(orders!C312,customers!$A$1:$A$1001,customers!$G$1:$G$1001,,0)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8">
        <f>INDEX(products!$A$1:$G$49,MATCH(orders!$D312,products!$A$1:$A$49,0),MATCH(orders!L$1,products!$A$1:$G$1,0))</f>
        <v>14.85</v>
      </c>
      <c r="M312" s="9">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_xlfn.XLOOKUP(orders!C313,customers!$A$1:$A$1001,customers!$G$1:$G$1001,,0)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8">
        <f>INDEX(products!$A$1:$G$49,MATCH(orders!$D313,products!$A$1:$A$49,0),MATCH(orders!L$1,products!$A$1:$G$1,0))</f>
        <v>31.624999999999996</v>
      </c>
      <c r="M313" s="9">
        <f t="shared" si="12"/>
        <v>189.74999999999997</v>
      </c>
      <c r="N313" t="str">
        <f t="shared" si="13"/>
        <v>Excelsa</v>
      </c>
      <c r="O313" t="str">
        <f t="shared" si="14"/>
        <v>Mediium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_xlfn.XLOOKUP(orders!C314,customers!$A$1:$A$1001,customers!$G$1:$G$1001,,0)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8">
        <f>INDEX(products!$A$1:$G$49,MATCH(orders!$D314,products!$A$1:$A$49,0),MATCH(orders!L$1,products!$A$1:$G$1,0))</f>
        <v>5.97</v>
      </c>
      <c r="M314" s="9">
        <f t="shared" si="12"/>
        <v>5.97</v>
      </c>
      <c r="N314" t="str">
        <f t="shared" si="13"/>
        <v>Robusta</v>
      </c>
      <c r="O314" t="str">
        <f t="shared" si="14"/>
        <v>Mediium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_xlfn.XLOOKUP(orders!C315,customers!$A$1:$A$1001,customers!$G$1:$G$1001,,0)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8">
        <f>INDEX(products!$A$1:$G$49,MATCH(orders!$D315,products!$A$1:$A$49,0),MATCH(orders!L$1,products!$A$1:$G$1,0))</f>
        <v>9.9499999999999993</v>
      </c>
      <c r="M315" s="9">
        <f t="shared" si="12"/>
        <v>29.849999999999998</v>
      </c>
      <c r="N315" t="str">
        <f t="shared" si="13"/>
        <v>Robusta</v>
      </c>
      <c r="O315" t="str">
        <f t="shared" si="14"/>
        <v>Mediium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_xlfn.XLOOKUP(orders!C316,customers!$A$1:$A$1001,customers!$G$1:$G$1001,,0)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8">
        <f>INDEX(products!$A$1:$G$49,MATCH(orders!$D316,products!$A$1:$A$49,0),MATCH(orders!L$1,products!$A$1:$G$1,0))</f>
        <v>8.9499999999999993</v>
      </c>
      <c r="M316" s="9">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_xlfn.XLOOKUP(orders!C317,customers!$A$1:$A$1001,customers!$G$1:$G$1001,,0)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8">
        <f>INDEX(products!$A$1:$G$49,MATCH(orders!$D317,products!$A$1:$A$49,0),MATCH(orders!L$1,products!$A$1:$G$1,0))</f>
        <v>34.154999999999994</v>
      </c>
      <c r="M317" s="9">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_xlfn.XLOOKUP(orders!C318,customers!$A$1:$A$1001,customers!$G$1:$G$1001,,0)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8">
        <f>INDEX(products!$A$1:$G$49,MATCH(orders!$D318,products!$A$1:$A$49,0),MATCH(orders!L$1,products!$A$1:$G$1,0))</f>
        <v>34.154999999999994</v>
      </c>
      <c r="M318" s="9">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_xlfn.XLOOKUP(orders!C319,customers!$A$1:$A$1001,customers!$G$1:$G$1001,,0)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8">
        <f>INDEX(products!$A$1:$G$49,MATCH(orders!$D319,products!$A$1:$A$49,0),MATCH(orders!L$1,products!$A$1:$G$1,0))</f>
        <v>7.29</v>
      </c>
      <c r="M319" s="9">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_xlfn.XLOOKUP(orders!C320,customers!$A$1:$A$1001,customers!$G$1:$G$1001,,0)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8">
        <f>INDEX(products!$A$1:$G$49,MATCH(orders!$D320,products!$A$1:$A$49,0),MATCH(orders!L$1,products!$A$1:$G$1,0))</f>
        <v>25.874999999999996</v>
      </c>
      <c r="M320" s="9">
        <f t="shared" si="12"/>
        <v>51.749999999999993</v>
      </c>
      <c r="N320" t="str">
        <f t="shared" si="13"/>
        <v>Arabica</v>
      </c>
      <c r="O320" t="str">
        <f t="shared" si="14"/>
        <v>Mediium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_xlfn.XLOOKUP(orders!C321,customers!$A$1:$A$1001,customers!$G$1:$G$1001,,0)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8">
        <f>INDEX(products!$A$1:$G$49,MATCH(orders!$D321,products!$A$1:$A$49,0),MATCH(orders!L$1,products!$A$1:$G$1,0))</f>
        <v>4.125</v>
      </c>
      <c r="M321" s="9">
        <f t="shared" si="12"/>
        <v>8.25</v>
      </c>
      <c r="N321" t="str">
        <f t="shared" si="13"/>
        <v>Excelsa</v>
      </c>
      <c r="O321" t="str">
        <f t="shared" si="14"/>
        <v>Mediium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_xlfn.XLOOKUP(orders!C322,customers!$A$1:$A$1001,customers!$G$1:$G$1001,,0)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8">
        <f>INDEX(products!$A$1:$G$49,MATCH(orders!$D322,products!$A$1:$A$49,0),MATCH(orders!L$1,products!$A$1:$G$1,0))</f>
        <v>3.8849999999999998</v>
      </c>
      <c r="M322" s="9">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_xlfn.XLOOKUP(orders!C323,customers!$A$1:$A$1001,customers!$G$1:$G$1001,,0)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8">
        <f>INDEX(products!$A$1:$G$49,MATCH(orders!$D323,products!$A$1:$A$49,0),MATCH(orders!L$1,products!$A$1:$G$1,0))</f>
        <v>3.375</v>
      </c>
      <c r="M323" s="9">
        <f t="shared" ref="M323:M386" si="15">L323*E323</f>
        <v>20.25</v>
      </c>
      <c r="N323" t="str">
        <f t="shared" ref="N323:N386" si="16">IF(I323="Rob","Robusta",IF(I323="exc","Excelsa",IF(I323="ara","Arabica",IF(I323="Lib","Liberica",""))))</f>
        <v>Arabica</v>
      </c>
      <c r="O323" t="str">
        <f t="shared" ref="O323:O386" si="17">IF(J323="m","Mediium",IF(J323="l","Light",IF(J323="d","Dark","")))</f>
        <v>Mediium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_xlfn.XLOOKUP(orders!C324,customers!$A$1:$A$1001,customers!$G$1:$G$1001,,0)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8">
        <f>INDEX(products!$A$1:$G$49,MATCH(orders!$D324,products!$A$1:$A$49,0),MATCH(orders!L$1,products!$A$1:$G$1,0))</f>
        <v>7.77</v>
      </c>
      <c r="M324" s="9">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_xlfn.XLOOKUP(orders!C325,customers!$A$1:$A$1001,customers!$G$1:$G$1001,,0)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8">
        <f>INDEX(products!$A$1:$G$49,MATCH(orders!$D325,products!$A$1:$A$49,0),MATCH(orders!L$1,products!$A$1:$G$1,0))</f>
        <v>3.645</v>
      </c>
      <c r="M325" s="9">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_xlfn.XLOOKUP(orders!C326,customers!$A$1:$A$1001,customers!$G$1:$G$1001,,0)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8">
        <f>INDEX(products!$A$1:$G$49,MATCH(orders!$D326,products!$A$1:$A$49,0),MATCH(orders!L$1,products!$A$1:$G$1,0))</f>
        <v>13.75</v>
      </c>
      <c r="M326" s="9">
        <f t="shared" si="15"/>
        <v>13.75</v>
      </c>
      <c r="N326" t="str">
        <f t="shared" si="16"/>
        <v>Excelsa</v>
      </c>
      <c r="O326" t="str">
        <f t="shared" si="17"/>
        <v>Mediium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_xlfn.XLOOKUP(orders!C327,customers!$A$1:$A$1001,customers!$G$1:$G$1001,,0)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8">
        <f>INDEX(products!$A$1:$G$49,MATCH(orders!$D327,products!$A$1:$A$49,0),MATCH(orders!L$1,products!$A$1:$G$1,0))</f>
        <v>29.784999999999997</v>
      </c>
      <c r="M327" s="9">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_xlfn.XLOOKUP(orders!C328,customers!$A$1:$A$1001,customers!$G$1:$G$1001,,0)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8">
        <f>INDEX(products!$A$1:$G$49,MATCH(orders!$D328,products!$A$1:$A$49,0),MATCH(orders!L$1,products!$A$1:$G$1,0))</f>
        <v>8.9499999999999993</v>
      </c>
      <c r="M328" s="9">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_xlfn.XLOOKUP(orders!C329,customers!$A$1:$A$1001,customers!$G$1:$G$1001,,0)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8">
        <f>INDEX(products!$A$1:$G$49,MATCH(orders!$D329,products!$A$1:$A$49,0),MATCH(orders!L$1,products!$A$1:$G$1,0))</f>
        <v>8.9499999999999993</v>
      </c>
      <c r="M329" s="9">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_xlfn.XLOOKUP(orders!C330,customers!$A$1:$A$1001,customers!$G$1:$G$1001,,0)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8">
        <f>INDEX(products!$A$1:$G$49,MATCH(orders!$D330,products!$A$1:$A$49,0),MATCH(orders!L$1,products!$A$1:$G$1,0))</f>
        <v>9.51</v>
      </c>
      <c r="M330" s="9">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_xlfn.XLOOKUP(orders!C331,customers!$A$1:$A$1001,customers!$G$1:$G$1001,,0)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8">
        <f>INDEX(products!$A$1:$G$49,MATCH(orders!$D331,products!$A$1:$A$49,0),MATCH(orders!L$1,products!$A$1:$G$1,0))</f>
        <v>5.3699999999999992</v>
      </c>
      <c r="M331" s="9">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_xlfn.XLOOKUP(orders!C332,customers!$A$1:$A$1001,customers!$G$1:$G$1001,,0)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8">
        <f>INDEX(products!$A$1:$G$49,MATCH(orders!$D332,products!$A$1:$A$49,0),MATCH(orders!L$1,products!$A$1:$G$1,0))</f>
        <v>5.3699999999999992</v>
      </c>
      <c r="M332" s="9">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_xlfn.XLOOKUP(orders!C333,customers!$A$1:$A$1001,customers!$G$1:$G$1001,,0)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8">
        <f>INDEX(products!$A$1:$G$49,MATCH(orders!$D333,products!$A$1:$A$49,0),MATCH(orders!L$1,products!$A$1:$G$1,0))</f>
        <v>22.884999999999998</v>
      </c>
      <c r="M333" s="9">
        <f t="shared" si="15"/>
        <v>22.884999999999998</v>
      </c>
      <c r="N333" t="str">
        <f t="shared" si="16"/>
        <v>Robusta</v>
      </c>
      <c r="O333" t="str">
        <f t="shared" si="17"/>
        <v>Mediium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_xlfn.XLOOKUP(orders!C334,customers!$A$1:$A$1001,customers!$G$1:$G$1001,,0)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8">
        <f>INDEX(products!$A$1:$G$49,MATCH(orders!$D334,products!$A$1:$A$49,0),MATCH(orders!L$1,products!$A$1:$G$1,0))</f>
        <v>5.97</v>
      </c>
      <c r="M334" s="9">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_xlfn.XLOOKUP(orders!C335,customers!$A$1:$A$1001,customers!$G$1:$G$1001,,0)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8">
        <f>INDEX(products!$A$1:$G$49,MATCH(orders!$D335,products!$A$1:$A$49,0),MATCH(orders!L$1,products!$A$1:$G$1,0))</f>
        <v>5.97</v>
      </c>
      <c r="M335" s="9">
        <f t="shared" si="15"/>
        <v>23.88</v>
      </c>
      <c r="N335" t="str">
        <f t="shared" si="16"/>
        <v>Robusta</v>
      </c>
      <c r="O335" t="str">
        <f t="shared" si="17"/>
        <v>Mediium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_xlfn.XLOOKUP(orders!C336,customers!$A$1:$A$1001,customers!$G$1:$G$1001,,0)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8">
        <f>INDEX(products!$A$1:$G$49,MATCH(orders!$D336,products!$A$1:$A$49,0),MATCH(orders!L$1,products!$A$1:$G$1,0))</f>
        <v>11.95</v>
      </c>
      <c r="M336" s="9">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_xlfn.XLOOKUP(orders!C337,customers!$A$1:$A$1001,customers!$G$1:$G$1001,,0)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8">
        <f>INDEX(products!$A$1:$G$49,MATCH(orders!$D337,products!$A$1:$A$49,0),MATCH(orders!L$1,products!$A$1:$G$1,0))</f>
        <v>4.7549999999999999</v>
      </c>
      <c r="M337" s="9">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_xlfn.XLOOKUP(orders!C338,customers!$A$1:$A$1001,customers!$G$1:$G$1001,,0)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8">
        <f>INDEX(products!$A$1:$G$49,MATCH(orders!$D338,products!$A$1:$A$49,0),MATCH(orders!L$1,products!$A$1:$G$1,0))</f>
        <v>11.25</v>
      </c>
      <c r="M338" s="9">
        <f t="shared" si="15"/>
        <v>45</v>
      </c>
      <c r="N338" t="str">
        <f t="shared" si="16"/>
        <v>Arabica</v>
      </c>
      <c r="O338" t="str">
        <f t="shared" si="17"/>
        <v>Mediium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_xlfn.XLOOKUP(orders!C339,customers!$A$1:$A$1001,customers!$G$1:$G$1001,,0)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8">
        <f>INDEX(products!$A$1:$G$49,MATCH(orders!$D339,products!$A$1:$A$49,0),MATCH(orders!L$1,products!$A$1:$G$1,0))</f>
        <v>27.945</v>
      </c>
      <c r="M339" s="9">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_xlfn.XLOOKUP(orders!C340,customers!$A$1:$A$1001,customers!$G$1:$G$1001,,0)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8">
        <f>INDEX(products!$A$1:$G$49,MATCH(orders!$D340,products!$A$1:$A$49,0),MATCH(orders!L$1,products!$A$1:$G$1,0))</f>
        <v>14.85</v>
      </c>
      <c r="M340" s="9">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_xlfn.XLOOKUP(orders!C341,customers!$A$1:$A$1001,customers!$G$1:$G$1001,,0)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8">
        <f>INDEX(products!$A$1:$G$49,MATCH(orders!$D341,products!$A$1:$A$49,0),MATCH(orders!L$1,products!$A$1:$G$1,0))</f>
        <v>3.645</v>
      </c>
      <c r="M341" s="9">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_xlfn.XLOOKUP(orders!C342,customers!$A$1:$A$1001,customers!$G$1:$G$1001,,0)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8">
        <f>INDEX(products!$A$1:$G$49,MATCH(orders!$D342,products!$A$1:$A$49,0),MATCH(orders!L$1,products!$A$1:$G$1,0))</f>
        <v>7.29</v>
      </c>
      <c r="M342" s="9">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_xlfn.XLOOKUP(orders!C343,customers!$A$1:$A$1001,customers!$G$1:$G$1001,,0)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8">
        <f>INDEX(products!$A$1:$G$49,MATCH(orders!$D343,products!$A$1:$A$49,0),MATCH(orders!L$1,products!$A$1:$G$1,0))</f>
        <v>8.91</v>
      </c>
      <c r="M343" s="9">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_xlfn.XLOOKUP(orders!C344,customers!$A$1:$A$1001,customers!$G$1:$G$1001,,0)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8">
        <f>INDEX(products!$A$1:$G$49,MATCH(orders!$D344,products!$A$1:$A$49,0),MATCH(orders!L$1,products!$A$1:$G$1,0))</f>
        <v>7.77</v>
      </c>
      <c r="M344" s="9">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_xlfn.XLOOKUP(orders!C345,customers!$A$1:$A$1001,customers!$G$1:$G$1001,,0)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8">
        <f>INDEX(products!$A$1:$G$49,MATCH(orders!$D345,products!$A$1:$A$49,0),MATCH(orders!L$1,products!$A$1:$G$1,0))</f>
        <v>5.3699999999999992</v>
      </c>
      <c r="M345" s="9">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_xlfn.XLOOKUP(orders!C346,customers!$A$1:$A$1001,customers!$G$1:$G$1001,,0)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8">
        <f>INDEX(products!$A$1:$G$49,MATCH(orders!$D346,products!$A$1:$A$49,0),MATCH(orders!L$1,products!$A$1:$G$1,0))</f>
        <v>9.9499999999999993</v>
      </c>
      <c r="M346" s="9">
        <f t="shared" si="15"/>
        <v>19.899999999999999</v>
      </c>
      <c r="N346" t="str">
        <f t="shared" si="16"/>
        <v>Robusta</v>
      </c>
      <c r="O346" t="str">
        <f t="shared" si="17"/>
        <v>Mediium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_xlfn.XLOOKUP(orders!C347,customers!$A$1:$A$1001,customers!$G$1:$G$1001,,0)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8">
        <f>INDEX(products!$A$1:$G$49,MATCH(orders!$D347,products!$A$1:$A$49,0),MATCH(orders!L$1,products!$A$1:$G$1,0))</f>
        <v>11.95</v>
      </c>
      <c r="M347" s="9">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_xlfn.XLOOKUP(orders!C348,customers!$A$1:$A$1001,customers!$G$1:$G$1001,,0)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8">
        <f>INDEX(products!$A$1:$G$49,MATCH(orders!$D348,products!$A$1:$A$49,0),MATCH(orders!L$1,products!$A$1:$G$1,0))</f>
        <v>7.77</v>
      </c>
      <c r="M348" s="9">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_xlfn.XLOOKUP(orders!C349,customers!$A$1:$A$1001,customers!$G$1:$G$1001,,0)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8">
        <f>INDEX(products!$A$1:$G$49,MATCH(orders!$D349,products!$A$1:$A$49,0),MATCH(orders!L$1,products!$A$1:$G$1,0))</f>
        <v>14.55</v>
      </c>
      <c r="M349" s="9">
        <f t="shared" si="15"/>
        <v>43.650000000000006</v>
      </c>
      <c r="N349" t="str">
        <f t="shared" si="16"/>
        <v>Liberica</v>
      </c>
      <c r="O349" t="str">
        <f t="shared" si="17"/>
        <v>Mediium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_xlfn.XLOOKUP(orders!C350,customers!$A$1:$A$1001,customers!$G$1:$G$1001,,0)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8">
        <f>INDEX(products!$A$1:$G$49,MATCH(orders!$D350,products!$A$1:$A$49,0),MATCH(orders!L$1,products!$A$1:$G$1,0))</f>
        <v>34.154999999999994</v>
      </c>
      <c r="M350" s="9">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_xlfn.XLOOKUP(orders!C351,customers!$A$1:$A$1001,customers!$G$1:$G$1001,,0)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8">
        <f>INDEX(products!$A$1:$G$49,MATCH(orders!$D351,products!$A$1:$A$49,0),MATCH(orders!L$1,products!$A$1:$G$1,0))</f>
        <v>3.5849999999999995</v>
      </c>
      <c r="M351" s="9">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_xlfn.XLOOKUP(orders!C352,customers!$A$1:$A$1001,customers!$G$1:$G$1001,,0)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8">
        <f>INDEX(products!$A$1:$G$49,MATCH(orders!$D352,products!$A$1:$A$49,0),MATCH(orders!L$1,products!$A$1:$G$1,0))</f>
        <v>5.97</v>
      </c>
      <c r="M352" s="9">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_xlfn.XLOOKUP(orders!C353,customers!$A$1:$A$1001,customers!$G$1:$G$1001,,0)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8">
        <f>INDEX(products!$A$1:$G$49,MATCH(orders!$D353,products!$A$1:$A$49,0),MATCH(orders!L$1,products!$A$1:$G$1,0))</f>
        <v>11.25</v>
      </c>
      <c r="M353" s="9">
        <f t="shared" si="15"/>
        <v>22.5</v>
      </c>
      <c r="N353" t="str">
        <f t="shared" si="16"/>
        <v>Arabica</v>
      </c>
      <c r="O353" t="str">
        <f t="shared" si="17"/>
        <v>Mediium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_xlfn.XLOOKUP(orders!C354,customers!$A$1:$A$1001,customers!$G$1:$G$1001,,0)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8">
        <f>INDEX(products!$A$1:$G$49,MATCH(orders!$D354,products!$A$1:$A$49,0),MATCH(orders!L$1,products!$A$1:$G$1,0))</f>
        <v>7.29</v>
      </c>
      <c r="M354" s="9">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_xlfn.XLOOKUP(orders!C355,customers!$A$1:$A$1001,customers!$G$1:$G$1001,,0)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8">
        <f>INDEX(products!$A$1:$G$49,MATCH(orders!$D355,products!$A$1:$A$49,0),MATCH(orders!L$1,products!$A$1:$G$1,0))</f>
        <v>6.75</v>
      </c>
      <c r="M355" s="9">
        <f t="shared" si="15"/>
        <v>27</v>
      </c>
      <c r="N355" t="str">
        <f t="shared" si="16"/>
        <v>Arabica</v>
      </c>
      <c r="O355" t="str">
        <f t="shared" si="17"/>
        <v>Mediium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_xlfn.XLOOKUP(orders!C356,customers!$A$1:$A$1001,customers!$G$1:$G$1001,,0)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8">
        <f>INDEX(products!$A$1:$G$49,MATCH(orders!$D356,products!$A$1:$A$49,0),MATCH(orders!L$1,products!$A$1:$G$1,0))</f>
        <v>25.874999999999996</v>
      </c>
      <c r="M356" s="9">
        <f t="shared" si="15"/>
        <v>155.24999999999997</v>
      </c>
      <c r="N356" t="str">
        <f t="shared" si="16"/>
        <v>Arabica</v>
      </c>
      <c r="O356" t="str">
        <f t="shared" si="17"/>
        <v>Mediium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_xlfn.XLOOKUP(orders!C357,customers!$A$1:$A$1001,customers!$G$1:$G$1001,,0)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8">
        <f>INDEX(products!$A$1:$G$49,MATCH(orders!$D357,products!$A$1:$A$49,0),MATCH(orders!L$1,products!$A$1:$G$1,0))</f>
        <v>22.884999999999998</v>
      </c>
      <c r="M357" s="9">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_xlfn.XLOOKUP(orders!C358,customers!$A$1:$A$1001,customers!$G$1:$G$1001,,0)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8">
        <f>INDEX(products!$A$1:$G$49,MATCH(orders!$D358,products!$A$1:$A$49,0),MATCH(orders!L$1,products!$A$1:$G$1,0))</f>
        <v>12.95</v>
      </c>
      <c r="M358" s="9">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_xlfn.XLOOKUP(orders!C359,customers!$A$1:$A$1001,customers!$G$1:$G$1001,,0)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8">
        <f>INDEX(products!$A$1:$G$49,MATCH(orders!$D359,products!$A$1:$A$49,0),MATCH(orders!L$1,products!$A$1:$G$1,0))</f>
        <v>25.874999999999996</v>
      </c>
      <c r="M359" s="9">
        <f t="shared" si="15"/>
        <v>155.24999999999997</v>
      </c>
      <c r="N359" t="str">
        <f t="shared" si="16"/>
        <v>Arabica</v>
      </c>
      <c r="O359" t="str">
        <f t="shared" si="17"/>
        <v>Mediium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_xlfn.XLOOKUP(orders!C360,customers!$A$1:$A$1001,customers!$G$1:$G$1001,,0)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8">
        <f>INDEX(products!$A$1:$G$49,MATCH(orders!$D360,products!$A$1:$A$49,0),MATCH(orders!L$1,products!$A$1:$G$1,0))</f>
        <v>29.784999999999997</v>
      </c>
      <c r="M360" s="9">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_xlfn.XLOOKUP(orders!C361,customers!$A$1:$A$1001,customers!$G$1:$G$1001,,0)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8">
        <f>INDEX(products!$A$1:$G$49,MATCH(orders!$D361,products!$A$1:$A$49,0),MATCH(orders!L$1,products!$A$1:$G$1,0))</f>
        <v>3.5849999999999995</v>
      </c>
      <c r="M361" s="9">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_xlfn.XLOOKUP(orders!C362,customers!$A$1:$A$1001,customers!$G$1:$G$1001,,0)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8">
        <f>INDEX(products!$A$1:$G$49,MATCH(orders!$D362,products!$A$1:$A$49,0),MATCH(orders!L$1,products!$A$1:$G$1,0))</f>
        <v>20.584999999999997</v>
      </c>
      <c r="M362" s="9">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_xlfn.XLOOKUP(orders!C363,customers!$A$1:$A$1001,customers!$G$1:$G$1001,,0)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8">
        <f>INDEX(products!$A$1:$G$49,MATCH(orders!$D363,products!$A$1:$A$49,0),MATCH(orders!L$1,products!$A$1:$G$1,0))</f>
        <v>5.97</v>
      </c>
      <c r="M363" s="9">
        <f t="shared" si="15"/>
        <v>5.97</v>
      </c>
      <c r="N363" t="str">
        <f t="shared" si="16"/>
        <v>Robusta</v>
      </c>
      <c r="O363" t="str">
        <f t="shared" si="17"/>
        <v>Mediium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_xlfn.XLOOKUP(orders!C364,customers!$A$1:$A$1001,customers!$G$1:$G$1001,,0)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8">
        <f>INDEX(products!$A$1:$G$49,MATCH(orders!$D364,products!$A$1:$A$49,0),MATCH(orders!L$1,products!$A$1:$G$1,0))</f>
        <v>14.85</v>
      </c>
      <c r="M364" s="9">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_xlfn.XLOOKUP(orders!C365,customers!$A$1:$A$1001,customers!$G$1:$G$1001,,0)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8">
        <f>INDEX(products!$A$1:$G$49,MATCH(orders!$D365,products!$A$1:$A$49,0),MATCH(orders!L$1,products!$A$1:$G$1,0))</f>
        <v>14.55</v>
      </c>
      <c r="M365" s="9">
        <f t="shared" si="15"/>
        <v>87.300000000000011</v>
      </c>
      <c r="N365" t="str">
        <f t="shared" si="16"/>
        <v>Liberica</v>
      </c>
      <c r="O365" t="str">
        <f t="shared" si="17"/>
        <v>Mediium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_xlfn.XLOOKUP(orders!C366,customers!$A$1:$A$1001,customers!$G$1:$G$1001,,0)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8">
        <f>INDEX(products!$A$1:$G$49,MATCH(orders!$D366,products!$A$1:$A$49,0),MATCH(orders!L$1,products!$A$1:$G$1,0))</f>
        <v>12.15</v>
      </c>
      <c r="M366" s="9">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_xlfn.XLOOKUP(orders!C367,customers!$A$1:$A$1001,customers!$G$1:$G$1001,,0)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8">
        <f>INDEX(products!$A$1:$G$49,MATCH(orders!$D367,products!$A$1:$A$49,0),MATCH(orders!L$1,products!$A$1:$G$1,0))</f>
        <v>7.77</v>
      </c>
      <c r="M367" s="9">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_xlfn.XLOOKUP(orders!C368,customers!$A$1:$A$1001,customers!$G$1:$G$1001,,0)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8">
        <f>INDEX(products!$A$1:$G$49,MATCH(orders!$D368,products!$A$1:$A$49,0),MATCH(orders!L$1,products!$A$1:$G$1,0))</f>
        <v>7.29</v>
      </c>
      <c r="M368" s="9">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_xlfn.XLOOKUP(orders!C369,customers!$A$1:$A$1001,customers!$G$1:$G$1001,,0)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8">
        <f>INDEX(products!$A$1:$G$49,MATCH(orders!$D369,products!$A$1:$A$49,0),MATCH(orders!L$1,products!$A$1:$G$1,0))</f>
        <v>4.3650000000000002</v>
      </c>
      <c r="M369" s="9">
        <f t="shared" si="15"/>
        <v>8.73</v>
      </c>
      <c r="N369" t="str">
        <f t="shared" si="16"/>
        <v>Liberica</v>
      </c>
      <c r="O369" t="str">
        <f t="shared" si="17"/>
        <v>Mediium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_xlfn.XLOOKUP(orders!C370,customers!$A$1:$A$1001,customers!$G$1:$G$1001,,0)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8">
        <f>INDEX(products!$A$1:$G$49,MATCH(orders!$D370,products!$A$1:$A$49,0),MATCH(orders!L$1,products!$A$1:$G$1,0))</f>
        <v>31.624999999999996</v>
      </c>
      <c r="M370" s="9">
        <f t="shared" si="15"/>
        <v>63.249999999999993</v>
      </c>
      <c r="N370" t="str">
        <f t="shared" si="16"/>
        <v>Excelsa</v>
      </c>
      <c r="O370" t="str">
        <f t="shared" si="17"/>
        <v>Mediium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_xlfn.XLOOKUP(orders!C371,customers!$A$1:$A$1001,customers!$G$1:$G$1001,,0)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8">
        <f>INDEX(products!$A$1:$G$49,MATCH(orders!$D371,products!$A$1:$A$49,0),MATCH(orders!L$1,products!$A$1:$G$1,0))</f>
        <v>8.91</v>
      </c>
      <c r="M371" s="9">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_xlfn.XLOOKUP(orders!C372,customers!$A$1:$A$1001,customers!$G$1:$G$1001,,0)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8">
        <f>INDEX(products!$A$1:$G$49,MATCH(orders!$D372,products!$A$1:$A$49,0),MATCH(orders!L$1,products!$A$1:$G$1,0))</f>
        <v>12.15</v>
      </c>
      <c r="M372" s="9">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_xlfn.XLOOKUP(orders!C373,customers!$A$1:$A$1001,customers!$G$1:$G$1001,,0)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8">
        <f>INDEX(products!$A$1:$G$49,MATCH(orders!$D373,products!$A$1:$A$49,0),MATCH(orders!L$1,products!$A$1:$G$1,0))</f>
        <v>7.77</v>
      </c>
      <c r="M373" s="9">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_xlfn.XLOOKUP(orders!C374,customers!$A$1:$A$1001,customers!$G$1:$G$1001,,0)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8">
        <f>INDEX(products!$A$1:$G$49,MATCH(orders!$D374,products!$A$1:$A$49,0),MATCH(orders!L$1,products!$A$1:$G$1,0))</f>
        <v>7.169999999999999</v>
      </c>
      <c r="M374" s="9">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_xlfn.XLOOKUP(orders!C375,customers!$A$1:$A$1001,customers!$G$1:$G$1001,,0)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8">
        <f>INDEX(products!$A$1:$G$49,MATCH(orders!$D375,products!$A$1:$A$49,0),MATCH(orders!L$1,products!$A$1:$G$1,0))</f>
        <v>5.97</v>
      </c>
      <c r="M375" s="9">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_xlfn.XLOOKUP(orders!C376,customers!$A$1:$A$1001,customers!$G$1:$G$1001,,0)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8">
        <f>INDEX(products!$A$1:$G$49,MATCH(orders!$D376,products!$A$1:$A$49,0),MATCH(orders!L$1,products!$A$1:$G$1,0))</f>
        <v>9.51</v>
      </c>
      <c r="M376" s="9">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_xlfn.XLOOKUP(orders!C377,customers!$A$1:$A$1001,customers!$G$1:$G$1001,,0)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8">
        <f>INDEX(products!$A$1:$G$49,MATCH(orders!$D377,products!$A$1:$A$49,0),MATCH(orders!L$1,products!$A$1:$G$1,0))</f>
        <v>3.375</v>
      </c>
      <c r="M377" s="9">
        <f t="shared" si="15"/>
        <v>6.75</v>
      </c>
      <c r="N377" t="str">
        <f t="shared" si="16"/>
        <v>Arabica</v>
      </c>
      <c r="O377" t="str">
        <f t="shared" si="17"/>
        <v>Mediium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_xlfn.XLOOKUP(orders!C378,customers!$A$1:$A$1001,customers!$G$1:$G$1001,,0)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8">
        <f>INDEX(products!$A$1:$G$49,MATCH(orders!$D378,products!$A$1:$A$49,0),MATCH(orders!L$1,products!$A$1:$G$1,0))</f>
        <v>5.97</v>
      </c>
      <c r="M378" s="9">
        <f t="shared" si="15"/>
        <v>5.97</v>
      </c>
      <c r="N378" t="str">
        <f t="shared" si="16"/>
        <v>Robusta</v>
      </c>
      <c r="O378" t="str">
        <f t="shared" si="17"/>
        <v>Mediium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_xlfn.XLOOKUP(orders!C379,customers!$A$1:$A$1001,customers!$G$1:$G$1001,,0)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8">
        <f>INDEX(products!$A$1:$G$49,MATCH(orders!$D379,products!$A$1:$A$49,0),MATCH(orders!L$1,products!$A$1:$G$1,0))</f>
        <v>2.6849999999999996</v>
      </c>
      <c r="M379" s="9">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_xlfn.XLOOKUP(orders!C380,customers!$A$1:$A$1001,customers!$G$1:$G$1001,,0)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8">
        <f>INDEX(products!$A$1:$G$49,MATCH(orders!$D380,products!$A$1:$A$49,0),MATCH(orders!L$1,products!$A$1:$G$1,0))</f>
        <v>7.77</v>
      </c>
      <c r="M380" s="9">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_xlfn.XLOOKUP(orders!C381,customers!$A$1:$A$1001,customers!$G$1:$G$1001,,0)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8">
        <f>INDEX(products!$A$1:$G$49,MATCH(orders!$D381,products!$A$1:$A$49,0),MATCH(orders!L$1,products!$A$1:$G$1,0))</f>
        <v>7.169999999999999</v>
      </c>
      <c r="M381" s="9">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_xlfn.XLOOKUP(orders!C382,customers!$A$1:$A$1001,customers!$G$1:$G$1001,,0)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8">
        <f>INDEX(products!$A$1:$G$49,MATCH(orders!$D382,products!$A$1:$A$49,0),MATCH(orders!L$1,products!$A$1:$G$1,0))</f>
        <v>7.77</v>
      </c>
      <c r="M382" s="9">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_xlfn.XLOOKUP(orders!C383,customers!$A$1:$A$1001,customers!$G$1:$G$1001,,0)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8">
        <f>INDEX(products!$A$1:$G$49,MATCH(orders!$D383,products!$A$1:$A$49,0),MATCH(orders!L$1,products!$A$1:$G$1,0))</f>
        <v>2.9849999999999999</v>
      </c>
      <c r="M383" s="9">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_xlfn.XLOOKUP(orders!C384,customers!$A$1:$A$1001,customers!$G$1:$G$1001,,0)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8">
        <f>INDEX(products!$A$1:$G$49,MATCH(orders!$D384,products!$A$1:$A$49,0),MATCH(orders!L$1,products!$A$1:$G$1,0))</f>
        <v>7.29</v>
      </c>
      <c r="M384" s="9">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_xlfn.XLOOKUP(orders!C385,customers!$A$1:$A$1001,customers!$G$1:$G$1001,,0)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8">
        <f>INDEX(products!$A$1:$G$49,MATCH(orders!$D385,products!$A$1:$A$49,0),MATCH(orders!L$1,products!$A$1:$G$1,0))</f>
        <v>8.91</v>
      </c>
      <c r="M385" s="9">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_xlfn.XLOOKUP(orders!C386,customers!$A$1:$A$1001,customers!$G$1:$G$1001,,0)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8">
        <f>INDEX(products!$A$1:$G$49,MATCH(orders!$D386,products!$A$1:$A$49,0),MATCH(orders!L$1,products!$A$1:$G$1,0))</f>
        <v>29.784999999999997</v>
      </c>
      <c r="M386" s="9">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_xlfn.XLOOKUP(orders!C387,customers!$A$1:$A$1001,customers!$G$1:$G$1001,,0)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8">
        <f>INDEX(products!$A$1:$G$49,MATCH(orders!$D387,products!$A$1:$A$49,0),MATCH(orders!L$1,products!$A$1:$G$1,0))</f>
        <v>8.73</v>
      </c>
      <c r="M387" s="9">
        <f t="shared" ref="M387:M450" si="18">L387*E387</f>
        <v>43.650000000000006</v>
      </c>
      <c r="N387" t="str">
        <f t="shared" ref="N387:N450" si="19">IF(I387="Rob","Robusta",IF(I387="exc","Excelsa",IF(I387="ara","Arabica",IF(I387="Lib","Liberica",""))))</f>
        <v>Liberica</v>
      </c>
      <c r="O387" t="str">
        <f t="shared" ref="O387:O450" si="20">IF(J387="m","Mediium",IF(J387="l","Light",IF(J387="d","Dark","")))</f>
        <v>Mediium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_xlfn.XLOOKUP(orders!C388,customers!$A$1:$A$1001,customers!$G$1:$G$1001,,0)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8">
        <f>INDEX(products!$A$1:$G$49,MATCH(orders!$D388,products!$A$1:$A$49,0),MATCH(orders!L$1,products!$A$1:$G$1,0))</f>
        <v>2.9849999999999999</v>
      </c>
      <c r="M388" s="9">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_xlfn.XLOOKUP(orders!C389,customers!$A$1:$A$1001,customers!$G$1:$G$1001,,0)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8">
        <f>INDEX(products!$A$1:$G$49,MATCH(orders!$D389,products!$A$1:$A$49,0),MATCH(orders!L$1,products!$A$1:$G$1,0))</f>
        <v>14.85</v>
      </c>
      <c r="M389" s="9">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_xlfn.XLOOKUP(orders!C390,customers!$A$1:$A$1001,customers!$G$1:$G$1001,,0)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8">
        <f>INDEX(products!$A$1:$G$49,MATCH(orders!$D390,products!$A$1:$A$49,0),MATCH(orders!L$1,products!$A$1:$G$1,0))</f>
        <v>3.8849999999999998</v>
      </c>
      <c r="M390" s="9">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_xlfn.XLOOKUP(orders!C391,customers!$A$1:$A$1001,customers!$G$1:$G$1001,,0)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8">
        <f>INDEX(products!$A$1:$G$49,MATCH(orders!$D391,products!$A$1:$A$49,0),MATCH(orders!L$1,products!$A$1:$G$1,0))</f>
        <v>7.77</v>
      </c>
      <c r="M391" s="9">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_xlfn.XLOOKUP(orders!C392,customers!$A$1:$A$1001,customers!$G$1:$G$1001,,0)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8">
        <f>INDEX(products!$A$1:$G$49,MATCH(orders!$D392,products!$A$1:$A$49,0),MATCH(orders!L$1,products!$A$1:$G$1,0))</f>
        <v>7.29</v>
      </c>
      <c r="M392" s="9">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_xlfn.XLOOKUP(orders!C393,customers!$A$1:$A$1001,customers!$G$1:$G$1001,,0)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8">
        <f>INDEX(products!$A$1:$G$49,MATCH(orders!$D393,products!$A$1:$A$49,0),MATCH(orders!L$1,products!$A$1:$G$1,0))</f>
        <v>6.75</v>
      </c>
      <c r="M393" s="9">
        <f t="shared" si="18"/>
        <v>13.5</v>
      </c>
      <c r="N393" t="str">
        <f t="shared" si="19"/>
        <v>Arabica</v>
      </c>
      <c r="O393" t="str">
        <f t="shared" si="20"/>
        <v>Mediium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_xlfn.XLOOKUP(orders!C394,customers!$A$1:$A$1001,customers!$G$1:$G$1001,,0)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8">
        <f>INDEX(products!$A$1:$G$49,MATCH(orders!$D394,products!$A$1:$A$49,0),MATCH(orders!L$1,products!$A$1:$G$1,0))</f>
        <v>14.85</v>
      </c>
      <c r="M394" s="9">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_xlfn.XLOOKUP(orders!C395,customers!$A$1:$A$1001,customers!$G$1:$G$1001,,0)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8">
        <f>INDEX(products!$A$1:$G$49,MATCH(orders!$D395,products!$A$1:$A$49,0),MATCH(orders!L$1,products!$A$1:$G$1,0))</f>
        <v>3.8849999999999998</v>
      </c>
      <c r="M395" s="9">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_xlfn.XLOOKUP(orders!C396,customers!$A$1:$A$1001,customers!$G$1:$G$1001,,0)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8">
        <f>INDEX(products!$A$1:$G$49,MATCH(orders!$D396,products!$A$1:$A$49,0),MATCH(orders!L$1,products!$A$1:$G$1,0))</f>
        <v>27.484999999999996</v>
      </c>
      <c r="M396" s="9">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_xlfn.XLOOKUP(orders!C397,customers!$A$1:$A$1001,customers!$G$1:$G$1001,,0)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8">
        <f>INDEX(products!$A$1:$G$49,MATCH(orders!$D397,products!$A$1:$A$49,0),MATCH(orders!L$1,products!$A$1:$G$1,0))</f>
        <v>7.77</v>
      </c>
      <c r="M397" s="9">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_xlfn.XLOOKUP(orders!C398,customers!$A$1:$A$1001,customers!$G$1:$G$1001,,0)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8">
        <f>INDEX(products!$A$1:$G$49,MATCH(orders!$D398,products!$A$1:$A$49,0),MATCH(orders!L$1,products!$A$1:$G$1,0))</f>
        <v>7.77</v>
      </c>
      <c r="M398" s="9">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_xlfn.XLOOKUP(orders!C399,customers!$A$1:$A$1001,customers!$G$1:$G$1001,,0)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8">
        <f>INDEX(products!$A$1:$G$49,MATCH(orders!$D399,products!$A$1:$A$49,0),MATCH(orders!L$1,products!$A$1:$G$1,0))</f>
        <v>7.77</v>
      </c>
      <c r="M399" s="9">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_xlfn.XLOOKUP(orders!C400,customers!$A$1:$A$1001,customers!$G$1:$G$1001,,0)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8">
        <f>INDEX(products!$A$1:$G$49,MATCH(orders!$D400,products!$A$1:$A$49,0),MATCH(orders!L$1,products!$A$1:$G$1,0))</f>
        <v>2.9849999999999999</v>
      </c>
      <c r="M400" s="9">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_xlfn.XLOOKUP(orders!C401,customers!$A$1:$A$1001,customers!$G$1:$G$1001,,0)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8">
        <f>INDEX(products!$A$1:$G$49,MATCH(orders!$D401,products!$A$1:$A$49,0),MATCH(orders!L$1,products!$A$1:$G$1,0))</f>
        <v>27.945</v>
      </c>
      <c r="M401" s="9">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_xlfn.XLOOKUP(orders!C402,customers!$A$1:$A$1001,customers!$G$1:$G$1001,,0)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8">
        <f>INDEX(products!$A$1:$G$49,MATCH(orders!$D402,products!$A$1:$A$49,0),MATCH(orders!L$1,products!$A$1:$G$1,0))</f>
        <v>15.85</v>
      </c>
      <c r="M402" s="9">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_xlfn.XLOOKUP(orders!C403,customers!$A$1:$A$1001,customers!$G$1:$G$1001,,0)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8">
        <f>INDEX(products!$A$1:$G$49,MATCH(orders!$D403,products!$A$1:$A$49,0),MATCH(orders!L$1,products!$A$1:$G$1,0))</f>
        <v>4.3650000000000002</v>
      </c>
      <c r="M403" s="9">
        <f t="shared" si="18"/>
        <v>8.73</v>
      </c>
      <c r="N403" t="str">
        <f t="shared" si="19"/>
        <v>Liberica</v>
      </c>
      <c r="O403" t="str">
        <f t="shared" si="20"/>
        <v>Mediium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_xlfn.XLOOKUP(orders!C404,customers!$A$1:$A$1001,customers!$G$1:$G$1001,,0)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8">
        <f>INDEX(products!$A$1:$G$49,MATCH(orders!$D404,products!$A$1:$A$49,0),MATCH(orders!L$1,products!$A$1:$G$1,0))</f>
        <v>8.9499999999999993</v>
      </c>
      <c r="M404" s="9">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_xlfn.XLOOKUP(orders!C405,customers!$A$1:$A$1001,customers!$G$1:$G$1001,,0)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8">
        <f>INDEX(products!$A$1:$G$49,MATCH(orders!$D405,products!$A$1:$A$49,0),MATCH(orders!L$1,products!$A$1:$G$1,0))</f>
        <v>4.7549999999999999</v>
      </c>
      <c r="M405" s="9">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_xlfn.XLOOKUP(orders!C406,customers!$A$1:$A$1001,customers!$G$1:$G$1001,,0)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8">
        <f>INDEX(products!$A$1:$G$49,MATCH(orders!$D406,products!$A$1:$A$49,0),MATCH(orders!L$1,products!$A$1:$G$1,0))</f>
        <v>9.9499999999999993</v>
      </c>
      <c r="M406" s="9">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_xlfn.XLOOKUP(orders!C407,customers!$A$1:$A$1001,customers!$G$1:$G$1001,,0)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8">
        <f>INDEX(products!$A$1:$G$49,MATCH(orders!$D407,products!$A$1:$A$49,0),MATCH(orders!L$1,products!$A$1:$G$1,0))</f>
        <v>8.25</v>
      </c>
      <c r="M407" s="9">
        <f t="shared" si="18"/>
        <v>24.75</v>
      </c>
      <c r="N407" t="str">
        <f t="shared" si="19"/>
        <v>Excelsa</v>
      </c>
      <c r="O407" t="str">
        <f t="shared" si="20"/>
        <v>Mediium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_xlfn.XLOOKUP(orders!C408,customers!$A$1:$A$1001,customers!$G$1:$G$1001,,0)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8">
        <f>INDEX(products!$A$1:$G$49,MATCH(orders!$D408,products!$A$1:$A$49,0),MATCH(orders!L$1,products!$A$1:$G$1,0))</f>
        <v>13.75</v>
      </c>
      <c r="M408" s="9">
        <f t="shared" si="18"/>
        <v>68.75</v>
      </c>
      <c r="N408" t="str">
        <f t="shared" si="19"/>
        <v>Excelsa</v>
      </c>
      <c r="O408" t="str">
        <f t="shared" si="20"/>
        <v>Mediium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_xlfn.XLOOKUP(orders!C409,customers!$A$1:$A$1001,customers!$G$1:$G$1001,,0)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8">
        <f>INDEX(products!$A$1:$G$49,MATCH(orders!$D409,products!$A$1:$A$49,0),MATCH(orders!L$1,products!$A$1:$G$1,0))</f>
        <v>8.25</v>
      </c>
      <c r="M409" s="9">
        <f t="shared" si="18"/>
        <v>49.5</v>
      </c>
      <c r="N409" t="str">
        <f t="shared" si="19"/>
        <v>Excelsa</v>
      </c>
      <c r="O409" t="str">
        <f t="shared" si="20"/>
        <v>Mediium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_xlfn.XLOOKUP(orders!C410,customers!$A$1:$A$1001,customers!$G$1:$G$1001,,0)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8">
        <f>INDEX(products!$A$1:$G$49,MATCH(orders!$D410,products!$A$1:$A$49,0),MATCH(orders!L$1,products!$A$1:$G$1,0))</f>
        <v>25.874999999999996</v>
      </c>
      <c r="M410" s="9">
        <f t="shared" si="18"/>
        <v>51.749999999999993</v>
      </c>
      <c r="N410" t="str">
        <f t="shared" si="19"/>
        <v>Arabica</v>
      </c>
      <c r="O410" t="str">
        <f t="shared" si="20"/>
        <v>Mediium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_xlfn.XLOOKUP(orders!C411,customers!$A$1:$A$1001,customers!$G$1:$G$1001,,0)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8">
        <f>INDEX(products!$A$1:$G$49,MATCH(orders!$D411,products!$A$1:$A$49,0),MATCH(orders!L$1,products!$A$1:$G$1,0))</f>
        <v>15.85</v>
      </c>
      <c r="M411" s="9">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_xlfn.XLOOKUP(orders!C412,customers!$A$1:$A$1001,customers!$G$1:$G$1001,,0)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8">
        <f>INDEX(products!$A$1:$G$49,MATCH(orders!$D412,products!$A$1:$A$49,0),MATCH(orders!L$1,products!$A$1:$G$1,0))</f>
        <v>3.8849999999999998</v>
      </c>
      <c r="M412" s="9">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_xlfn.XLOOKUP(orders!C413,customers!$A$1:$A$1001,customers!$G$1:$G$1001,,0)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8">
        <f>INDEX(products!$A$1:$G$49,MATCH(orders!$D413,products!$A$1:$A$49,0),MATCH(orders!L$1,products!$A$1:$G$1,0))</f>
        <v>14.55</v>
      </c>
      <c r="M413" s="9">
        <f t="shared" si="18"/>
        <v>87.300000000000011</v>
      </c>
      <c r="N413" t="str">
        <f t="shared" si="19"/>
        <v>Liberica</v>
      </c>
      <c r="O413" t="str">
        <f t="shared" si="20"/>
        <v>Mediium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_xlfn.XLOOKUP(orders!C414,customers!$A$1:$A$1001,customers!$G$1:$G$1001,,0)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8">
        <f>INDEX(products!$A$1:$G$49,MATCH(orders!$D414,products!$A$1:$A$49,0),MATCH(orders!L$1,products!$A$1:$G$1,0))</f>
        <v>11.25</v>
      </c>
      <c r="M414" s="9">
        <f t="shared" si="18"/>
        <v>56.25</v>
      </c>
      <c r="N414" t="str">
        <f t="shared" si="19"/>
        <v>Arabica</v>
      </c>
      <c r="O414" t="str">
        <f t="shared" si="20"/>
        <v>Mediium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_xlfn.XLOOKUP(orders!C415,customers!$A$1:$A$1001,customers!$G$1:$G$1001,,0)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8">
        <f>INDEX(products!$A$1:$G$49,MATCH(orders!$D415,products!$A$1:$A$49,0),MATCH(orders!L$1,products!$A$1:$G$1,0))</f>
        <v>36.454999999999998</v>
      </c>
      <c r="M415" s="9">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_xlfn.XLOOKUP(orders!C416,customers!$A$1:$A$1001,customers!$G$1:$G$1001,,0)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8">
        <f>INDEX(products!$A$1:$G$49,MATCH(orders!$D416,products!$A$1:$A$49,0),MATCH(orders!L$1,products!$A$1:$G$1,0))</f>
        <v>3.5849999999999995</v>
      </c>
      <c r="M416" s="9">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_xlfn.XLOOKUP(orders!C417,customers!$A$1:$A$1001,customers!$G$1:$G$1001,,0)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8">
        <f>INDEX(products!$A$1:$G$49,MATCH(orders!$D417,products!$A$1:$A$49,0),MATCH(orders!L$1,products!$A$1:$G$1,0))</f>
        <v>2.9849999999999999</v>
      </c>
      <c r="M417" s="9">
        <f t="shared" si="18"/>
        <v>8.9550000000000001</v>
      </c>
      <c r="N417" t="str">
        <f t="shared" si="19"/>
        <v>Robusta</v>
      </c>
      <c r="O417" t="str">
        <f t="shared" si="20"/>
        <v>Mediium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_xlfn.XLOOKUP(orders!C418,customers!$A$1:$A$1001,customers!$G$1:$G$1001,,0)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8">
        <f>INDEX(products!$A$1:$G$49,MATCH(orders!$D418,products!$A$1:$A$49,0),MATCH(orders!L$1,products!$A$1:$G$1,0))</f>
        <v>7.77</v>
      </c>
      <c r="M418" s="9">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_xlfn.XLOOKUP(orders!C419,customers!$A$1:$A$1001,customers!$G$1:$G$1001,,0)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8">
        <f>INDEX(products!$A$1:$G$49,MATCH(orders!$D419,products!$A$1:$A$49,0),MATCH(orders!L$1,products!$A$1:$G$1,0))</f>
        <v>29.784999999999997</v>
      </c>
      <c r="M419" s="9">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_xlfn.XLOOKUP(orders!C420,customers!$A$1:$A$1001,customers!$G$1:$G$1001,,0)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8">
        <f>INDEX(products!$A$1:$G$49,MATCH(orders!$D420,products!$A$1:$A$49,0),MATCH(orders!L$1,products!$A$1:$G$1,0))</f>
        <v>29.784999999999997</v>
      </c>
      <c r="M420" s="9">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_xlfn.XLOOKUP(orders!C421,customers!$A$1:$A$1001,customers!$G$1:$G$1001,,0)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8">
        <f>INDEX(products!$A$1:$G$49,MATCH(orders!$D421,products!$A$1:$A$49,0),MATCH(orders!L$1,products!$A$1:$G$1,0))</f>
        <v>8.73</v>
      </c>
      <c r="M421" s="9">
        <f t="shared" si="18"/>
        <v>8.73</v>
      </c>
      <c r="N421" t="str">
        <f t="shared" si="19"/>
        <v>Liberica</v>
      </c>
      <c r="O421" t="str">
        <f t="shared" si="20"/>
        <v>Mediium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_xlfn.XLOOKUP(orders!C422,customers!$A$1:$A$1001,customers!$G$1:$G$1001,,0)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8">
        <f>INDEX(products!$A$1:$G$49,MATCH(orders!$D422,products!$A$1:$A$49,0),MATCH(orders!L$1,products!$A$1:$G$1,0))</f>
        <v>7.77</v>
      </c>
      <c r="M422" s="9">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_xlfn.XLOOKUP(orders!C423,customers!$A$1:$A$1001,customers!$G$1:$G$1001,,0)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8">
        <f>INDEX(products!$A$1:$G$49,MATCH(orders!$D423,products!$A$1:$A$49,0),MATCH(orders!L$1,products!$A$1:$G$1,0))</f>
        <v>22.884999999999998</v>
      </c>
      <c r="M423" s="9">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_xlfn.XLOOKUP(orders!C424,customers!$A$1:$A$1001,customers!$G$1:$G$1001,,0)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8">
        <f>INDEX(products!$A$1:$G$49,MATCH(orders!$D424,products!$A$1:$A$49,0),MATCH(orders!L$1,products!$A$1:$G$1,0))</f>
        <v>5.97</v>
      </c>
      <c r="M424" s="9">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_xlfn.XLOOKUP(orders!C425,customers!$A$1:$A$1001,customers!$G$1:$G$1001,,0)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8">
        <f>INDEX(products!$A$1:$G$49,MATCH(orders!$D425,products!$A$1:$A$49,0),MATCH(orders!L$1,products!$A$1:$G$1,0))</f>
        <v>5.97</v>
      </c>
      <c r="M425" s="9">
        <f t="shared" si="18"/>
        <v>17.91</v>
      </c>
      <c r="N425" t="str">
        <f t="shared" si="19"/>
        <v>Robusta</v>
      </c>
      <c r="O425" t="str">
        <f t="shared" si="20"/>
        <v>Mediium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_xlfn.XLOOKUP(orders!C426,customers!$A$1:$A$1001,customers!$G$1:$G$1001,,0)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8">
        <f>INDEX(products!$A$1:$G$49,MATCH(orders!$D426,products!$A$1:$A$49,0),MATCH(orders!L$1,products!$A$1:$G$1,0))</f>
        <v>8.91</v>
      </c>
      <c r="M426" s="9">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_xlfn.XLOOKUP(orders!C427,customers!$A$1:$A$1001,customers!$G$1:$G$1001,,0)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8">
        <f>INDEX(products!$A$1:$G$49,MATCH(orders!$D427,products!$A$1:$A$49,0),MATCH(orders!L$1,products!$A$1:$G$1,0))</f>
        <v>8.9499999999999993</v>
      </c>
      <c r="M427" s="9">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_xlfn.XLOOKUP(orders!C428,customers!$A$1:$A$1001,customers!$G$1:$G$1001,,0)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8">
        <f>INDEX(products!$A$1:$G$49,MATCH(orders!$D428,products!$A$1:$A$49,0),MATCH(orders!L$1,products!$A$1:$G$1,0))</f>
        <v>3.5849999999999995</v>
      </c>
      <c r="M428" s="9">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_xlfn.XLOOKUP(orders!C429,customers!$A$1:$A$1001,customers!$G$1:$G$1001,,0)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8">
        <f>INDEX(products!$A$1:$G$49,MATCH(orders!$D429,products!$A$1:$A$49,0),MATCH(orders!L$1,products!$A$1:$G$1,0))</f>
        <v>25.874999999999996</v>
      </c>
      <c r="M429" s="9">
        <f t="shared" si="18"/>
        <v>77.624999999999986</v>
      </c>
      <c r="N429" t="str">
        <f t="shared" si="19"/>
        <v>Arabica</v>
      </c>
      <c r="O429" t="str">
        <f t="shared" si="20"/>
        <v>Mediium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_xlfn.XLOOKUP(orders!C430,customers!$A$1:$A$1001,customers!$G$1:$G$1001,,0)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8">
        <f>INDEX(products!$A$1:$G$49,MATCH(orders!$D430,products!$A$1:$A$49,0),MATCH(orders!L$1,products!$A$1:$G$1,0))</f>
        <v>11.95</v>
      </c>
      <c r="M430" s="9">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_xlfn.XLOOKUP(orders!C431,customers!$A$1:$A$1001,customers!$G$1:$G$1001,,0)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8">
        <f>INDEX(products!$A$1:$G$49,MATCH(orders!$D431,products!$A$1:$A$49,0),MATCH(orders!L$1,products!$A$1:$G$1,0))</f>
        <v>12.95</v>
      </c>
      <c r="M431" s="9">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_xlfn.XLOOKUP(orders!C432,customers!$A$1:$A$1001,customers!$G$1:$G$1001,,0)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8">
        <f>INDEX(products!$A$1:$G$49,MATCH(orders!$D432,products!$A$1:$A$49,0),MATCH(orders!L$1,products!$A$1:$G$1,0))</f>
        <v>2.6849999999999996</v>
      </c>
      <c r="M432" s="9">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_xlfn.XLOOKUP(orders!C433,customers!$A$1:$A$1001,customers!$G$1:$G$1001,,0)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8">
        <f>INDEX(products!$A$1:$G$49,MATCH(orders!$D433,products!$A$1:$A$49,0),MATCH(orders!L$1,products!$A$1:$G$1,0))</f>
        <v>27.945</v>
      </c>
      <c r="M433" s="9">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_xlfn.XLOOKUP(orders!C434,customers!$A$1:$A$1001,customers!$G$1:$G$1001,,0)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8">
        <f>INDEX(products!$A$1:$G$49,MATCH(orders!$D434,products!$A$1:$A$49,0),MATCH(orders!L$1,products!$A$1:$G$1,0))</f>
        <v>11.25</v>
      </c>
      <c r="M434" s="9">
        <f t="shared" si="18"/>
        <v>22.5</v>
      </c>
      <c r="N434" t="str">
        <f t="shared" si="19"/>
        <v>Arabica</v>
      </c>
      <c r="O434" t="str">
        <f t="shared" si="20"/>
        <v>Mediium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_xlfn.XLOOKUP(orders!C435,customers!$A$1:$A$1001,customers!$G$1:$G$1001,,0)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8">
        <f>INDEX(products!$A$1:$G$49,MATCH(orders!$D435,products!$A$1:$A$49,0),MATCH(orders!L$1,products!$A$1:$G$1,0))</f>
        <v>33.464999999999996</v>
      </c>
      <c r="M435" s="9">
        <f t="shared" si="18"/>
        <v>200.78999999999996</v>
      </c>
      <c r="N435" t="str">
        <f t="shared" si="19"/>
        <v>Liberica</v>
      </c>
      <c r="O435" t="str">
        <f t="shared" si="20"/>
        <v>Mediium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_xlfn.XLOOKUP(orders!C436,customers!$A$1:$A$1001,customers!$G$1:$G$1001,,0)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8">
        <f>INDEX(products!$A$1:$G$49,MATCH(orders!$D436,products!$A$1:$A$49,0),MATCH(orders!L$1,products!$A$1:$G$1,0))</f>
        <v>11.25</v>
      </c>
      <c r="M436" s="9">
        <f t="shared" si="18"/>
        <v>67.5</v>
      </c>
      <c r="N436" t="str">
        <f t="shared" si="19"/>
        <v>Arabica</v>
      </c>
      <c r="O436" t="str">
        <f t="shared" si="20"/>
        <v>Mediium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_xlfn.XLOOKUP(orders!C437,customers!$A$1:$A$1001,customers!$G$1:$G$1001,,0)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8">
        <f>INDEX(products!$A$1:$G$49,MATCH(orders!$D437,products!$A$1:$A$49,0),MATCH(orders!L$1,products!$A$1:$G$1,0))</f>
        <v>8.25</v>
      </c>
      <c r="M437" s="9">
        <f t="shared" si="18"/>
        <v>8.25</v>
      </c>
      <c r="N437" t="str">
        <f t="shared" si="19"/>
        <v>Excelsa</v>
      </c>
      <c r="O437" t="str">
        <f t="shared" si="20"/>
        <v>Mediium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_xlfn.XLOOKUP(orders!C438,customers!$A$1:$A$1001,customers!$G$1:$G$1001,,0)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8">
        <f>INDEX(products!$A$1:$G$49,MATCH(orders!$D438,products!$A$1:$A$49,0),MATCH(orders!L$1,products!$A$1:$G$1,0))</f>
        <v>4.7549999999999999</v>
      </c>
      <c r="M438" s="9">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_xlfn.XLOOKUP(orders!C439,customers!$A$1:$A$1001,customers!$G$1:$G$1001,,0)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8">
        <f>INDEX(products!$A$1:$G$49,MATCH(orders!$D439,products!$A$1:$A$49,0),MATCH(orders!L$1,products!$A$1:$G$1,0))</f>
        <v>29.784999999999997</v>
      </c>
      <c r="M439" s="9">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_xlfn.XLOOKUP(orders!C440,customers!$A$1:$A$1001,customers!$G$1:$G$1001,,0)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8">
        <f>INDEX(products!$A$1:$G$49,MATCH(orders!$D440,products!$A$1:$A$49,0),MATCH(orders!L$1,products!$A$1:$G$1,0))</f>
        <v>7.77</v>
      </c>
      <c r="M440" s="9">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_xlfn.XLOOKUP(orders!C441,customers!$A$1:$A$1001,customers!$G$1:$G$1001,,0)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8">
        <f>INDEX(products!$A$1:$G$49,MATCH(orders!$D441,products!$A$1:$A$49,0),MATCH(orders!L$1,products!$A$1:$G$1,0))</f>
        <v>8.91</v>
      </c>
      <c r="M441" s="9">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_xlfn.XLOOKUP(orders!C442,customers!$A$1:$A$1001,customers!$G$1:$G$1001,,0)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8">
        <f>INDEX(products!$A$1:$G$49,MATCH(orders!$D442,products!$A$1:$A$49,0),MATCH(orders!L$1,products!$A$1:$G$1,0))</f>
        <v>25.874999999999996</v>
      </c>
      <c r="M442" s="9">
        <f t="shared" si="18"/>
        <v>103.49999999999999</v>
      </c>
      <c r="N442" t="str">
        <f t="shared" si="19"/>
        <v>Arabica</v>
      </c>
      <c r="O442" t="str">
        <f t="shared" si="20"/>
        <v>Mediium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_xlfn.XLOOKUP(orders!C443,customers!$A$1:$A$1001,customers!$G$1:$G$1001,,0)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8">
        <f>INDEX(products!$A$1:$G$49,MATCH(orders!$D443,products!$A$1:$A$49,0),MATCH(orders!L$1,products!$A$1:$G$1,0))</f>
        <v>12.15</v>
      </c>
      <c r="M443" s="9">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_xlfn.XLOOKUP(orders!C444,customers!$A$1:$A$1001,customers!$G$1:$G$1001,,0)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8">
        <f>INDEX(products!$A$1:$G$49,MATCH(orders!$D444,products!$A$1:$A$49,0),MATCH(orders!L$1,products!$A$1:$G$1,0))</f>
        <v>7.169999999999999</v>
      </c>
      <c r="M444" s="9">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_xlfn.XLOOKUP(orders!C445,customers!$A$1:$A$1001,customers!$G$1:$G$1001,,0)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8">
        <f>INDEX(products!$A$1:$G$49,MATCH(orders!$D445,products!$A$1:$A$49,0),MATCH(orders!L$1,products!$A$1:$G$1,0))</f>
        <v>4.4550000000000001</v>
      </c>
      <c r="M445" s="9">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_xlfn.XLOOKUP(orders!C446,customers!$A$1:$A$1001,customers!$G$1:$G$1001,,0)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8">
        <f>INDEX(products!$A$1:$G$49,MATCH(orders!$D446,products!$A$1:$A$49,0),MATCH(orders!L$1,products!$A$1:$G$1,0))</f>
        <v>4.125</v>
      </c>
      <c r="M446" s="9">
        <f t="shared" si="18"/>
        <v>24.75</v>
      </c>
      <c r="N446" t="str">
        <f t="shared" si="19"/>
        <v>Excelsa</v>
      </c>
      <c r="O446" t="str">
        <f t="shared" si="20"/>
        <v>Mediium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_xlfn.XLOOKUP(orders!C447,customers!$A$1:$A$1001,customers!$G$1:$G$1001,,0)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8">
        <f>INDEX(products!$A$1:$G$49,MATCH(orders!$D447,products!$A$1:$A$49,0),MATCH(orders!L$1,products!$A$1:$G$1,0))</f>
        <v>33.464999999999996</v>
      </c>
      <c r="M447" s="9">
        <f t="shared" si="18"/>
        <v>66.929999999999993</v>
      </c>
      <c r="N447" t="str">
        <f t="shared" si="19"/>
        <v>Liberica</v>
      </c>
      <c r="O447" t="str">
        <f t="shared" si="20"/>
        <v>Mediium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_xlfn.XLOOKUP(orders!C448,customers!$A$1:$A$1001,customers!$G$1:$G$1001,,0)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8">
        <f>INDEX(products!$A$1:$G$49,MATCH(orders!$D448,products!$A$1:$A$49,0),MATCH(orders!L$1,products!$A$1:$G$1,0))</f>
        <v>8.73</v>
      </c>
      <c r="M448" s="9">
        <f t="shared" si="18"/>
        <v>8.73</v>
      </c>
      <c r="N448" t="str">
        <f t="shared" si="19"/>
        <v>Liberica</v>
      </c>
      <c r="O448" t="str">
        <f t="shared" si="20"/>
        <v>Mediium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_xlfn.XLOOKUP(orders!C449,customers!$A$1:$A$1001,customers!$G$1:$G$1001,,0)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8">
        <f>INDEX(products!$A$1:$G$49,MATCH(orders!$D449,products!$A$1:$A$49,0),MATCH(orders!L$1,products!$A$1:$G$1,0))</f>
        <v>5.97</v>
      </c>
      <c r="M449" s="9">
        <f t="shared" si="18"/>
        <v>17.91</v>
      </c>
      <c r="N449" t="str">
        <f t="shared" si="19"/>
        <v>Robusta</v>
      </c>
      <c r="O449" t="str">
        <f t="shared" si="20"/>
        <v>Mediium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_xlfn.XLOOKUP(orders!C450,customers!$A$1:$A$1001,customers!$G$1:$G$1001,,0)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8">
        <f>INDEX(products!$A$1:$G$49,MATCH(orders!$D450,products!$A$1:$A$49,0),MATCH(orders!L$1,products!$A$1:$G$1,0))</f>
        <v>7.169999999999999</v>
      </c>
      <c r="M450" s="9">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_xlfn.XLOOKUP(orders!C451,customers!$A$1:$A$1001,customers!$G$1:$G$1001,,0)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8">
        <f>INDEX(products!$A$1:$G$49,MATCH(orders!$D451,products!$A$1:$A$49,0),MATCH(orders!L$1,products!$A$1:$G$1,0))</f>
        <v>2.6849999999999996</v>
      </c>
      <c r="M451" s="9">
        <f t="shared" ref="M451:M514" si="21">L451*E451</f>
        <v>5.3699999999999992</v>
      </c>
      <c r="N451" t="str">
        <f t="shared" ref="N451:N514" si="22">IF(I451="Rob","Robusta",IF(I451="exc","Excelsa",IF(I451="ara","Arabica",IF(I451="Lib","Liberica",""))))</f>
        <v>Robusta</v>
      </c>
      <c r="O451" t="str">
        <f t="shared" ref="O451:O514" si="23">IF(J451="m","Mediium",IF(J451="l","Light",IF(J451="d","Dark","")))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_xlfn.XLOOKUP(orders!C452,customers!$A$1:$A$1001,customers!$G$1:$G$1001,,0)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8">
        <f>INDEX(products!$A$1:$G$49,MATCH(orders!$D452,products!$A$1:$A$49,0),MATCH(orders!L$1,products!$A$1:$G$1,0))</f>
        <v>4.7549999999999999</v>
      </c>
      <c r="M452" s="9">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_xlfn.XLOOKUP(orders!C453,customers!$A$1:$A$1001,customers!$G$1:$G$1001,,0)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8">
        <f>INDEX(products!$A$1:$G$49,MATCH(orders!$D453,products!$A$1:$A$49,0),MATCH(orders!L$1,products!$A$1:$G$1,0))</f>
        <v>20.584999999999997</v>
      </c>
      <c r="M453" s="9">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_xlfn.XLOOKUP(orders!C454,customers!$A$1:$A$1001,customers!$G$1:$G$1001,,0)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8">
        <f>INDEX(products!$A$1:$G$49,MATCH(orders!$D454,products!$A$1:$A$49,0),MATCH(orders!L$1,products!$A$1:$G$1,0))</f>
        <v>3.8849999999999998</v>
      </c>
      <c r="M454" s="9">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_xlfn.XLOOKUP(orders!C455,customers!$A$1:$A$1001,customers!$G$1:$G$1001,,0)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8">
        <f>INDEX(products!$A$1:$G$49,MATCH(orders!$D455,products!$A$1:$A$49,0),MATCH(orders!L$1,products!$A$1:$G$1,0))</f>
        <v>9.51</v>
      </c>
      <c r="M455" s="9">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_xlfn.XLOOKUP(orders!C456,customers!$A$1:$A$1001,customers!$G$1:$G$1001,,0)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8">
        <f>INDEX(products!$A$1:$G$49,MATCH(orders!$D456,products!$A$1:$A$49,0),MATCH(orders!L$1,products!$A$1:$G$1,0))</f>
        <v>20.584999999999997</v>
      </c>
      <c r="M456" s="9">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_xlfn.XLOOKUP(orders!C457,customers!$A$1:$A$1001,customers!$G$1:$G$1001,,0)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8">
        <f>INDEX(products!$A$1:$G$49,MATCH(orders!$D457,products!$A$1:$A$49,0),MATCH(orders!L$1,products!$A$1:$G$1,0))</f>
        <v>4.7549999999999999</v>
      </c>
      <c r="M457" s="9">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_xlfn.XLOOKUP(orders!C458,customers!$A$1:$A$1001,customers!$G$1:$G$1001,,0)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8">
        <f>INDEX(products!$A$1:$G$49,MATCH(orders!$D458,products!$A$1:$A$49,0),MATCH(orders!L$1,products!$A$1:$G$1,0))</f>
        <v>20.584999999999997</v>
      </c>
      <c r="M458" s="9">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_xlfn.XLOOKUP(orders!C459,customers!$A$1:$A$1001,customers!$G$1:$G$1001,,0)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8">
        <f>INDEX(products!$A$1:$G$49,MATCH(orders!$D459,products!$A$1:$A$49,0),MATCH(orders!L$1,products!$A$1:$G$1,0))</f>
        <v>9.51</v>
      </c>
      <c r="M459" s="9">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_xlfn.XLOOKUP(orders!C460,customers!$A$1:$A$1001,customers!$G$1:$G$1001,,0)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8">
        <f>INDEX(products!$A$1:$G$49,MATCH(orders!$D460,products!$A$1:$A$49,0),MATCH(orders!L$1,products!$A$1:$G$1,0))</f>
        <v>11.25</v>
      </c>
      <c r="M460" s="9">
        <f t="shared" si="21"/>
        <v>45</v>
      </c>
      <c r="N460" t="str">
        <f t="shared" si="22"/>
        <v>Arabica</v>
      </c>
      <c r="O460" t="str">
        <f t="shared" si="23"/>
        <v>Mediium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_xlfn.XLOOKUP(orders!C461,customers!$A$1:$A$1001,customers!$G$1:$G$1001,,0)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8">
        <f>INDEX(products!$A$1:$G$49,MATCH(orders!$D461,products!$A$1:$A$49,0),MATCH(orders!L$1,products!$A$1:$G$1,0))</f>
        <v>4.7549999999999999</v>
      </c>
      <c r="M461" s="9">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_xlfn.XLOOKUP(orders!C462,customers!$A$1:$A$1001,customers!$G$1:$G$1001,,0)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8">
        <f>INDEX(products!$A$1:$G$49,MATCH(orders!$D462,products!$A$1:$A$49,0),MATCH(orders!L$1,products!$A$1:$G$1,0))</f>
        <v>5.3699999999999992</v>
      </c>
      <c r="M462" s="9">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_xlfn.XLOOKUP(orders!C463,customers!$A$1:$A$1001,customers!$G$1:$G$1001,,0)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8">
        <f>INDEX(products!$A$1:$G$49,MATCH(orders!$D463,products!$A$1:$A$49,0),MATCH(orders!L$1,products!$A$1:$G$1,0))</f>
        <v>2.6849999999999996</v>
      </c>
      <c r="M463" s="9">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_xlfn.XLOOKUP(orders!C464,customers!$A$1:$A$1001,customers!$G$1:$G$1001,,0)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8">
        <f>INDEX(products!$A$1:$G$49,MATCH(orders!$D464,products!$A$1:$A$49,0),MATCH(orders!L$1,products!$A$1:$G$1,0))</f>
        <v>9.9499999999999993</v>
      </c>
      <c r="M464" s="9">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_xlfn.XLOOKUP(orders!C465,customers!$A$1:$A$1001,customers!$G$1:$G$1001,,0)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8">
        <f>INDEX(products!$A$1:$G$49,MATCH(orders!$D465,products!$A$1:$A$49,0),MATCH(orders!L$1,products!$A$1:$G$1,0))</f>
        <v>13.75</v>
      </c>
      <c r="M465" s="9">
        <f t="shared" si="21"/>
        <v>27.5</v>
      </c>
      <c r="N465" t="str">
        <f t="shared" si="22"/>
        <v>Excelsa</v>
      </c>
      <c r="O465" t="str">
        <f t="shared" si="23"/>
        <v>Mediium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_xlfn.XLOOKUP(orders!C466,customers!$A$1:$A$1001,customers!$G$1:$G$1001,,0)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8">
        <f>INDEX(products!$A$1:$G$49,MATCH(orders!$D466,products!$A$1:$A$49,0),MATCH(orders!L$1,products!$A$1:$G$1,0))</f>
        <v>29.784999999999997</v>
      </c>
      <c r="M466" s="9">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_xlfn.XLOOKUP(orders!C467,customers!$A$1:$A$1001,customers!$G$1:$G$1001,,0)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8">
        <f>INDEX(products!$A$1:$G$49,MATCH(orders!$D467,products!$A$1:$A$49,0),MATCH(orders!L$1,products!$A$1:$G$1,0))</f>
        <v>20.584999999999997</v>
      </c>
      <c r="M467" s="9">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_xlfn.XLOOKUP(orders!C468,customers!$A$1:$A$1001,customers!$G$1:$G$1001,,0)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8">
        <f>INDEX(products!$A$1:$G$49,MATCH(orders!$D468,products!$A$1:$A$49,0),MATCH(orders!L$1,products!$A$1:$G$1,0))</f>
        <v>2.9849999999999999</v>
      </c>
      <c r="M468" s="9">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_xlfn.XLOOKUP(orders!C469,customers!$A$1:$A$1001,customers!$G$1:$G$1001,,0)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8">
        <f>INDEX(products!$A$1:$G$49,MATCH(orders!$D469,products!$A$1:$A$49,0),MATCH(orders!L$1,products!$A$1:$G$1,0))</f>
        <v>5.97</v>
      </c>
      <c r="M469" s="9">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_xlfn.XLOOKUP(orders!C470,customers!$A$1:$A$1001,customers!$G$1:$G$1001,,0)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8">
        <f>INDEX(products!$A$1:$G$49,MATCH(orders!$D470,products!$A$1:$A$49,0),MATCH(orders!L$1,products!$A$1:$G$1,0))</f>
        <v>13.75</v>
      </c>
      <c r="M470" s="9">
        <f t="shared" si="21"/>
        <v>41.25</v>
      </c>
      <c r="N470" t="str">
        <f t="shared" si="22"/>
        <v>Excelsa</v>
      </c>
      <c r="O470" t="str">
        <f t="shared" si="23"/>
        <v>Mediium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_xlfn.XLOOKUP(orders!C471,customers!$A$1:$A$1001,customers!$G$1:$G$1001,,0)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8">
        <f>INDEX(products!$A$1:$G$49,MATCH(orders!$D471,products!$A$1:$A$49,0),MATCH(orders!L$1,products!$A$1:$G$1,0))</f>
        <v>4.4550000000000001</v>
      </c>
      <c r="M471" s="9">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_xlfn.XLOOKUP(orders!C472,customers!$A$1:$A$1001,customers!$G$1:$G$1001,,0)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8">
        <f>INDEX(products!$A$1:$G$49,MATCH(orders!$D472,products!$A$1:$A$49,0),MATCH(orders!L$1,products!$A$1:$G$1,0))</f>
        <v>6.75</v>
      </c>
      <c r="M472" s="9">
        <f t="shared" si="21"/>
        <v>6.75</v>
      </c>
      <c r="N472" t="str">
        <f t="shared" si="22"/>
        <v>Arabica</v>
      </c>
      <c r="O472" t="str">
        <f t="shared" si="23"/>
        <v>Mediium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_xlfn.XLOOKUP(orders!C473,customers!$A$1:$A$1001,customers!$G$1:$G$1001,,0)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8">
        <f>INDEX(products!$A$1:$G$49,MATCH(orders!$D473,products!$A$1:$A$49,0),MATCH(orders!L$1,products!$A$1:$G$1,0))</f>
        <v>33.464999999999996</v>
      </c>
      <c r="M473" s="9">
        <f t="shared" si="21"/>
        <v>133.85999999999999</v>
      </c>
      <c r="N473" t="str">
        <f t="shared" si="22"/>
        <v>Liberica</v>
      </c>
      <c r="O473" t="str">
        <f t="shared" si="23"/>
        <v>Mediium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_xlfn.XLOOKUP(orders!C474,customers!$A$1:$A$1001,customers!$G$1:$G$1001,,0)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8">
        <f>INDEX(products!$A$1:$G$49,MATCH(orders!$D474,products!$A$1:$A$49,0),MATCH(orders!L$1,products!$A$1:$G$1,0))</f>
        <v>2.9849999999999999</v>
      </c>
      <c r="M474" s="9">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_xlfn.XLOOKUP(orders!C475,customers!$A$1:$A$1001,customers!$G$1:$G$1001,,0)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8">
        <f>INDEX(products!$A$1:$G$49,MATCH(orders!$D475,products!$A$1:$A$49,0),MATCH(orders!L$1,products!$A$1:$G$1,0))</f>
        <v>12.95</v>
      </c>
      <c r="M475" s="9">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_xlfn.XLOOKUP(orders!C476,customers!$A$1:$A$1001,customers!$G$1:$G$1001,,0)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8">
        <f>INDEX(products!$A$1:$G$49,MATCH(orders!$D476,products!$A$1:$A$49,0),MATCH(orders!L$1,products!$A$1:$G$1,0))</f>
        <v>31.624999999999996</v>
      </c>
      <c r="M476" s="9">
        <f t="shared" si="21"/>
        <v>31.624999999999996</v>
      </c>
      <c r="N476" t="str">
        <f t="shared" si="22"/>
        <v>Excelsa</v>
      </c>
      <c r="O476" t="str">
        <f t="shared" si="23"/>
        <v>Mediium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_xlfn.XLOOKUP(orders!C477,customers!$A$1:$A$1001,customers!$G$1:$G$1001,,0)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8">
        <f>INDEX(products!$A$1:$G$49,MATCH(orders!$D477,products!$A$1:$A$49,0),MATCH(orders!L$1,products!$A$1:$G$1,0))</f>
        <v>4.3650000000000002</v>
      </c>
      <c r="M477" s="9">
        <f t="shared" si="21"/>
        <v>8.73</v>
      </c>
      <c r="N477" t="str">
        <f t="shared" si="22"/>
        <v>Liberica</v>
      </c>
      <c r="O477" t="str">
        <f t="shared" si="23"/>
        <v>Mediium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_xlfn.XLOOKUP(orders!C478,customers!$A$1:$A$1001,customers!$G$1:$G$1001,,0)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8">
        <f>INDEX(products!$A$1:$G$49,MATCH(orders!$D478,products!$A$1:$A$49,0),MATCH(orders!L$1,products!$A$1:$G$1,0))</f>
        <v>4.4550000000000001</v>
      </c>
      <c r="M478" s="9">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_xlfn.XLOOKUP(orders!C479,customers!$A$1:$A$1001,customers!$G$1:$G$1001,,0)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8">
        <f>INDEX(products!$A$1:$G$49,MATCH(orders!$D479,products!$A$1:$A$49,0),MATCH(orders!L$1,products!$A$1:$G$1,0))</f>
        <v>4.3650000000000002</v>
      </c>
      <c r="M479" s="9">
        <f t="shared" si="21"/>
        <v>26.19</v>
      </c>
      <c r="N479" t="str">
        <f t="shared" si="22"/>
        <v>Liberica</v>
      </c>
      <c r="O479" t="str">
        <f t="shared" si="23"/>
        <v>Mediium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_xlfn.XLOOKUP(orders!C480,customers!$A$1:$A$1001,customers!$G$1:$G$1001,,0)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8">
        <f>INDEX(products!$A$1:$G$49,MATCH(orders!$D480,products!$A$1:$A$49,0),MATCH(orders!L$1,products!$A$1:$G$1,0))</f>
        <v>8.9499999999999993</v>
      </c>
      <c r="M480" s="9">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_xlfn.XLOOKUP(orders!C481,customers!$A$1:$A$1001,customers!$G$1:$G$1001,,0)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8">
        <f>INDEX(products!$A$1:$G$49,MATCH(orders!$D481,products!$A$1:$A$49,0),MATCH(orders!L$1,products!$A$1:$G$1,0))</f>
        <v>31.624999999999996</v>
      </c>
      <c r="M481" s="9">
        <f t="shared" si="21"/>
        <v>126.49999999999999</v>
      </c>
      <c r="N481" t="str">
        <f t="shared" si="22"/>
        <v>Excelsa</v>
      </c>
      <c r="O481" t="str">
        <f t="shared" si="23"/>
        <v>Mediium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_xlfn.XLOOKUP(orders!C482,customers!$A$1:$A$1001,customers!$G$1:$G$1001,,0)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8">
        <f>INDEX(products!$A$1:$G$49,MATCH(orders!$D482,products!$A$1:$A$49,0),MATCH(orders!L$1,products!$A$1:$G$1,0))</f>
        <v>4.125</v>
      </c>
      <c r="M482" s="9">
        <f t="shared" si="21"/>
        <v>4.125</v>
      </c>
      <c r="N482" t="str">
        <f t="shared" si="22"/>
        <v>Excelsa</v>
      </c>
      <c r="O482" t="str">
        <f t="shared" si="23"/>
        <v>Mediium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_xlfn.XLOOKUP(orders!C483,customers!$A$1:$A$1001,customers!$G$1:$G$1001,,0)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8">
        <f>INDEX(products!$A$1:$G$49,MATCH(orders!$D483,products!$A$1:$A$49,0),MATCH(orders!L$1,products!$A$1:$G$1,0))</f>
        <v>11.95</v>
      </c>
      <c r="M483" s="9">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_xlfn.XLOOKUP(orders!C484,customers!$A$1:$A$1001,customers!$G$1:$G$1001,,0)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8">
        <f>INDEX(products!$A$1:$G$49,MATCH(orders!$D484,products!$A$1:$A$49,0),MATCH(orders!L$1,products!$A$1:$G$1,0))</f>
        <v>27.945</v>
      </c>
      <c r="M484" s="9">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_xlfn.XLOOKUP(orders!C485,customers!$A$1:$A$1001,customers!$G$1:$G$1001,,0)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8">
        <f>INDEX(products!$A$1:$G$49,MATCH(orders!$D485,products!$A$1:$A$49,0),MATCH(orders!L$1,products!$A$1:$G$1,0))</f>
        <v>29.784999999999997</v>
      </c>
      <c r="M485" s="9">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_xlfn.XLOOKUP(orders!C486,customers!$A$1:$A$1001,customers!$G$1:$G$1001,,0)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8">
        <f>INDEX(products!$A$1:$G$49,MATCH(orders!$D486,products!$A$1:$A$49,0),MATCH(orders!L$1,products!$A$1:$G$1,0))</f>
        <v>9.51</v>
      </c>
      <c r="M486" s="9">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_xlfn.XLOOKUP(orders!C487,customers!$A$1:$A$1001,customers!$G$1:$G$1001,,0)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8">
        <f>INDEX(products!$A$1:$G$49,MATCH(orders!$D487,products!$A$1:$A$49,0),MATCH(orders!L$1,products!$A$1:$G$1,0))</f>
        <v>3.5849999999999995</v>
      </c>
      <c r="M487" s="9">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_xlfn.XLOOKUP(orders!C488,customers!$A$1:$A$1001,customers!$G$1:$G$1001,,0)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8">
        <f>INDEX(products!$A$1:$G$49,MATCH(orders!$D488,products!$A$1:$A$49,0),MATCH(orders!L$1,products!$A$1:$G$1,0))</f>
        <v>8.73</v>
      </c>
      <c r="M488" s="9">
        <f t="shared" si="21"/>
        <v>52.38</v>
      </c>
      <c r="N488" t="str">
        <f t="shared" si="22"/>
        <v>Liberica</v>
      </c>
      <c r="O488" t="str">
        <f t="shared" si="23"/>
        <v>Mediium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_xlfn.XLOOKUP(orders!C489,customers!$A$1:$A$1001,customers!$G$1:$G$1001,,0)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8">
        <f>INDEX(products!$A$1:$G$49,MATCH(orders!$D489,products!$A$1:$A$49,0),MATCH(orders!L$1,products!$A$1:$G$1,0))</f>
        <v>12.15</v>
      </c>
      <c r="M489" s="9">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_xlfn.XLOOKUP(orders!C490,customers!$A$1:$A$1001,customers!$G$1:$G$1001,,0)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8">
        <f>INDEX(products!$A$1:$G$49,MATCH(orders!$D490,products!$A$1:$A$49,0),MATCH(orders!L$1,products!$A$1:$G$1,0))</f>
        <v>2.9849999999999999</v>
      </c>
      <c r="M490" s="9">
        <f t="shared" si="21"/>
        <v>14.924999999999999</v>
      </c>
      <c r="N490" t="str">
        <f t="shared" si="22"/>
        <v>Robusta</v>
      </c>
      <c r="O490" t="str">
        <f t="shared" si="23"/>
        <v>Mediium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_xlfn.XLOOKUP(orders!C491,customers!$A$1:$A$1001,customers!$G$1:$G$1001,,0)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8">
        <f>INDEX(products!$A$1:$G$49,MATCH(orders!$D491,products!$A$1:$A$49,0),MATCH(orders!L$1,products!$A$1:$G$1,0))</f>
        <v>15.85</v>
      </c>
      <c r="M491" s="9">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_xlfn.XLOOKUP(orders!C492,customers!$A$1:$A$1001,customers!$G$1:$G$1001,,0)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8">
        <f>INDEX(products!$A$1:$G$49,MATCH(orders!$D492,products!$A$1:$A$49,0),MATCH(orders!L$1,products!$A$1:$G$1,0))</f>
        <v>7.77</v>
      </c>
      <c r="M492" s="9">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_xlfn.XLOOKUP(orders!C493,customers!$A$1:$A$1001,customers!$G$1:$G$1001,,0)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8">
        <f>INDEX(products!$A$1:$G$49,MATCH(orders!$D493,products!$A$1:$A$49,0),MATCH(orders!L$1,products!$A$1:$G$1,0))</f>
        <v>3.8849999999999998</v>
      </c>
      <c r="M493" s="9">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_xlfn.XLOOKUP(orders!C494,customers!$A$1:$A$1001,customers!$G$1:$G$1001,,0)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8">
        <f>INDEX(products!$A$1:$G$49,MATCH(orders!$D494,products!$A$1:$A$49,0),MATCH(orders!L$1,products!$A$1:$G$1,0))</f>
        <v>4.125</v>
      </c>
      <c r="M494" s="9">
        <f t="shared" si="21"/>
        <v>4.125</v>
      </c>
      <c r="N494" t="str">
        <f t="shared" si="22"/>
        <v>Excelsa</v>
      </c>
      <c r="O494" t="str">
        <f t="shared" si="23"/>
        <v>Mediium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_xlfn.XLOOKUP(orders!C495,customers!$A$1:$A$1001,customers!$G$1:$G$1001,,0)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8">
        <f>INDEX(products!$A$1:$G$49,MATCH(orders!$D495,products!$A$1:$A$49,0),MATCH(orders!L$1,products!$A$1:$G$1,0))</f>
        <v>5.97</v>
      </c>
      <c r="M495" s="9">
        <f t="shared" si="21"/>
        <v>35.82</v>
      </c>
      <c r="N495" t="str">
        <f t="shared" si="22"/>
        <v>Robusta</v>
      </c>
      <c r="O495" t="str">
        <f t="shared" si="23"/>
        <v>Mediium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_xlfn.XLOOKUP(orders!C496,customers!$A$1:$A$1001,customers!$G$1:$G$1001,,0)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8">
        <f>INDEX(products!$A$1:$G$49,MATCH(orders!$D496,products!$A$1:$A$49,0),MATCH(orders!L$1,products!$A$1:$G$1,0))</f>
        <v>15.85</v>
      </c>
      <c r="M496" s="9">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_xlfn.XLOOKUP(orders!C497,customers!$A$1:$A$1001,customers!$G$1:$G$1001,,0)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8">
        <f>INDEX(products!$A$1:$G$49,MATCH(orders!$D497,products!$A$1:$A$49,0),MATCH(orders!L$1,products!$A$1:$G$1,0))</f>
        <v>15.85</v>
      </c>
      <c r="M497" s="9">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_xlfn.XLOOKUP(orders!C498,customers!$A$1:$A$1001,customers!$G$1:$G$1001,,0)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8">
        <f>INDEX(products!$A$1:$G$49,MATCH(orders!$D498,products!$A$1:$A$49,0),MATCH(orders!L$1,products!$A$1:$G$1,0))</f>
        <v>3.645</v>
      </c>
      <c r="M498" s="9">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_xlfn.XLOOKUP(orders!C499,customers!$A$1:$A$1001,customers!$G$1:$G$1001,,0)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8">
        <f>INDEX(products!$A$1:$G$49,MATCH(orders!$D499,products!$A$1:$A$49,0),MATCH(orders!L$1,products!$A$1:$G$1,0))</f>
        <v>9.9499999999999993</v>
      </c>
      <c r="M499" s="9">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_xlfn.XLOOKUP(orders!C500,customers!$A$1:$A$1001,customers!$G$1:$G$1001,,0)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8">
        <f>INDEX(products!$A$1:$G$49,MATCH(orders!$D500,products!$A$1:$A$49,0),MATCH(orders!L$1,products!$A$1:$G$1,0))</f>
        <v>9.9499999999999993</v>
      </c>
      <c r="M500" s="9">
        <f t="shared" si="21"/>
        <v>49.75</v>
      </c>
      <c r="N500" t="str">
        <f t="shared" si="22"/>
        <v>Robusta</v>
      </c>
      <c r="O500" t="str">
        <f t="shared" si="23"/>
        <v>Mediium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_xlfn.XLOOKUP(orders!C501,customers!$A$1:$A$1001,customers!$G$1:$G$1001,,0)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8">
        <f>INDEX(products!$A$1:$G$49,MATCH(orders!$D501,products!$A$1:$A$49,0),MATCH(orders!L$1,products!$A$1:$G$1,0))</f>
        <v>2.6849999999999996</v>
      </c>
      <c r="M501" s="9">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_xlfn.XLOOKUP(orders!C502,customers!$A$1:$A$1001,customers!$G$1:$G$1001,,0)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8">
        <f>INDEX(products!$A$1:$G$49,MATCH(orders!$D502,products!$A$1:$A$49,0),MATCH(orders!L$1,products!$A$1:$G$1,0))</f>
        <v>11.95</v>
      </c>
      <c r="M502" s="9">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_xlfn.XLOOKUP(orders!C503,customers!$A$1:$A$1001,customers!$G$1:$G$1001,,0)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8">
        <f>INDEX(products!$A$1:$G$49,MATCH(orders!$D503,products!$A$1:$A$49,0),MATCH(orders!L$1,products!$A$1:$G$1,0))</f>
        <v>2.9849999999999999</v>
      </c>
      <c r="M503" s="9">
        <f t="shared" si="21"/>
        <v>11.94</v>
      </c>
      <c r="N503" t="str">
        <f t="shared" si="22"/>
        <v>Robusta</v>
      </c>
      <c r="O503" t="str">
        <f t="shared" si="23"/>
        <v>Mediium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_xlfn.XLOOKUP(orders!C504,customers!$A$1:$A$1001,customers!$G$1:$G$1001,,0)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8">
        <f>INDEX(products!$A$1:$G$49,MATCH(orders!$D504,products!$A$1:$A$49,0),MATCH(orders!L$1,products!$A$1:$G$1,0))</f>
        <v>4.125</v>
      </c>
      <c r="M504" s="9">
        <f t="shared" si="21"/>
        <v>16.5</v>
      </c>
      <c r="N504" t="str">
        <f t="shared" si="22"/>
        <v>Excelsa</v>
      </c>
      <c r="O504" t="str">
        <f t="shared" si="23"/>
        <v>Mediium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_xlfn.XLOOKUP(orders!C505,customers!$A$1:$A$1001,customers!$G$1:$G$1001,,0)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8">
        <f>INDEX(products!$A$1:$G$49,MATCH(orders!$D505,products!$A$1:$A$49,0),MATCH(orders!L$1,products!$A$1:$G$1,0))</f>
        <v>12.95</v>
      </c>
      <c r="M505" s="9">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_xlfn.XLOOKUP(orders!C506,customers!$A$1:$A$1001,customers!$G$1:$G$1001,,0)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8">
        <f>INDEX(products!$A$1:$G$49,MATCH(orders!$D506,products!$A$1:$A$49,0),MATCH(orders!L$1,products!$A$1:$G$1,0))</f>
        <v>4.7549999999999999</v>
      </c>
      <c r="M506" s="9">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_xlfn.XLOOKUP(orders!C507,customers!$A$1:$A$1001,customers!$G$1:$G$1001,,0)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8">
        <f>INDEX(products!$A$1:$G$49,MATCH(orders!$D507,products!$A$1:$A$49,0),MATCH(orders!L$1,products!$A$1:$G$1,0))</f>
        <v>4.3650000000000002</v>
      </c>
      <c r="M507" s="9">
        <f t="shared" si="21"/>
        <v>26.19</v>
      </c>
      <c r="N507" t="str">
        <f t="shared" si="22"/>
        <v>Liberica</v>
      </c>
      <c r="O507" t="str">
        <f t="shared" si="23"/>
        <v>Mediium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_xlfn.XLOOKUP(orders!C508,customers!$A$1:$A$1001,customers!$G$1:$G$1001,,0)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8">
        <f>INDEX(products!$A$1:$G$49,MATCH(orders!$D508,products!$A$1:$A$49,0),MATCH(orders!L$1,products!$A$1:$G$1,0))</f>
        <v>12.95</v>
      </c>
      <c r="M508" s="9">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_xlfn.XLOOKUP(orders!C509,customers!$A$1:$A$1001,customers!$G$1:$G$1001,,0)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8">
        <f>INDEX(products!$A$1:$G$49,MATCH(orders!$D509,products!$A$1:$A$49,0),MATCH(orders!L$1,products!$A$1:$G$1,0))</f>
        <v>29.784999999999997</v>
      </c>
      <c r="M509" s="9">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_xlfn.XLOOKUP(orders!C510,customers!$A$1:$A$1001,customers!$G$1:$G$1001,,0)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8">
        <f>INDEX(products!$A$1:$G$49,MATCH(orders!$D510,products!$A$1:$A$49,0),MATCH(orders!L$1,products!$A$1:$G$1,0))</f>
        <v>7.77</v>
      </c>
      <c r="M510" s="9">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_xlfn.XLOOKUP(orders!C511,customers!$A$1:$A$1001,customers!$G$1:$G$1001,,0)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8">
        <f>INDEX(products!$A$1:$G$49,MATCH(orders!$D511,products!$A$1:$A$49,0),MATCH(orders!L$1,products!$A$1:$G$1,0))</f>
        <v>9.9499999999999993</v>
      </c>
      <c r="M511" s="9">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_xlfn.XLOOKUP(orders!C512,customers!$A$1:$A$1001,customers!$G$1:$G$1001,,0)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8">
        <f>INDEX(products!$A$1:$G$49,MATCH(orders!$D512,products!$A$1:$A$49,0),MATCH(orders!L$1,products!$A$1:$G$1,0))</f>
        <v>3.5849999999999995</v>
      </c>
      <c r="M512" s="9">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_xlfn.XLOOKUP(orders!C513,customers!$A$1:$A$1001,customers!$G$1:$G$1001,,0)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8">
        <f>INDEX(products!$A$1:$G$49,MATCH(orders!$D513,products!$A$1:$A$49,0),MATCH(orders!L$1,products!$A$1:$G$1,0))</f>
        <v>3.375</v>
      </c>
      <c r="M513" s="9">
        <f t="shared" si="21"/>
        <v>13.5</v>
      </c>
      <c r="N513" t="str">
        <f t="shared" si="22"/>
        <v>Arabica</v>
      </c>
      <c r="O513" t="str">
        <f t="shared" si="23"/>
        <v>Mediium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_xlfn.XLOOKUP(orders!C514,customers!$A$1:$A$1001,customers!$G$1:$G$1001,,0)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8">
        <f>INDEX(products!$A$1:$G$49,MATCH(orders!$D514,products!$A$1:$A$49,0),MATCH(orders!L$1,products!$A$1:$G$1,0))</f>
        <v>15.85</v>
      </c>
      <c r="M514" s="9">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_xlfn.XLOOKUP(orders!C515,customers!$A$1:$A$1001,customers!$G$1:$G$1001,,0)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8">
        <f>INDEX(products!$A$1:$G$49,MATCH(orders!$D515,products!$A$1:$A$49,0),MATCH(orders!L$1,products!$A$1:$G$1,0))</f>
        <v>15.85</v>
      </c>
      <c r="M515" s="9">
        <f t="shared" ref="M515:M578" si="24">L515*E515</f>
        <v>79.25</v>
      </c>
      <c r="N515" t="str">
        <f t="shared" ref="N515:N578" si="25">IF(I515="Rob","Robusta",IF(I515="exc","Excelsa",IF(I515="ara","Arabica",IF(I515="Lib","Liberica",""))))</f>
        <v>Liberica</v>
      </c>
      <c r="O515" t="str">
        <f t="shared" ref="O515:O578" si="26">IF(J515="m","Mediium",IF(J515="l","Light",IF(J515="d","Dark","")))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_xlfn.XLOOKUP(orders!C516,customers!$A$1:$A$1001,customers!$G$1:$G$1001,,0)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8">
        <f>INDEX(products!$A$1:$G$49,MATCH(orders!$D516,products!$A$1:$A$49,0),MATCH(orders!L$1,products!$A$1:$G$1,0))</f>
        <v>4.3650000000000002</v>
      </c>
      <c r="M516" s="9">
        <f t="shared" si="24"/>
        <v>26.19</v>
      </c>
      <c r="N516" t="str">
        <f t="shared" si="25"/>
        <v>Liberica</v>
      </c>
      <c r="O516" t="str">
        <f t="shared" si="26"/>
        <v>Mediium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_xlfn.XLOOKUP(orders!C517,customers!$A$1:$A$1001,customers!$G$1:$G$1001,,0)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8">
        <f>INDEX(products!$A$1:$G$49,MATCH(orders!$D517,products!$A$1:$A$49,0),MATCH(orders!L$1,products!$A$1:$G$1,0))</f>
        <v>7.169999999999999</v>
      </c>
      <c r="M517" s="9">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_xlfn.XLOOKUP(orders!C518,customers!$A$1:$A$1001,customers!$G$1:$G$1001,,0)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8">
        <f>INDEX(products!$A$1:$G$49,MATCH(orders!$D518,products!$A$1:$A$49,0),MATCH(orders!L$1,products!$A$1:$G$1,0))</f>
        <v>20.584999999999997</v>
      </c>
      <c r="M518" s="9">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_xlfn.XLOOKUP(orders!C519,customers!$A$1:$A$1001,customers!$G$1:$G$1001,,0)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8">
        <f>INDEX(products!$A$1:$G$49,MATCH(orders!$D519,products!$A$1:$A$49,0),MATCH(orders!L$1,products!$A$1:$G$1,0))</f>
        <v>3.8849999999999998</v>
      </c>
      <c r="M519" s="9">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_xlfn.XLOOKUP(orders!C520,customers!$A$1:$A$1001,customers!$G$1:$G$1001,,0)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8">
        <f>INDEX(products!$A$1:$G$49,MATCH(orders!$D520,products!$A$1:$A$49,0),MATCH(orders!L$1,products!$A$1:$G$1,0))</f>
        <v>27.945</v>
      </c>
      <c r="M520" s="9">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_xlfn.XLOOKUP(orders!C521,customers!$A$1:$A$1001,customers!$G$1:$G$1001,,0)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8">
        <f>INDEX(products!$A$1:$G$49,MATCH(orders!$D521,products!$A$1:$A$49,0),MATCH(orders!L$1,products!$A$1:$G$1,0))</f>
        <v>5.97</v>
      </c>
      <c r="M521" s="9">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_xlfn.XLOOKUP(orders!C522,customers!$A$1:$A$1001,customers!$G$1:$G$1001,,0)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8">
        <f>INDEX(products!$A$1:$G$49,MATCH(orders!$D522,products!$A$1:$A$49,0),MATCH(orders!L$1,products!$A$1:$G$1,0))</f>
        <v>3.8849999999999998</v>
      </c>
      <c r="M522" s="9">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_xlfn.XLOOKUP(orders!C523,customers!$A$1:$A$1001,customers!$G$1:$G$1001,,0)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8">
        <f>INDEX(products!$A$1:$G$49,MATCH(orders!$D523,products!$A$1:$A$49,0),MATCH(orders!L$1,products!$A$1:$G$1,0))</f>
        <v>9.9499999999999993</v>
      </c>
      <c r="M523" s="9">
        <f t="shared" si="24"/>
        <v>39.799999999999997</v>
      </c>
      <c r="N523" t="str">
        <f t="shared" si="25"/>
        <v>Robusta</v>
      </c>
      <c r="O523" t="str">
        <f t="shared" si="26"/>
        <v>Mediium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_xlfn.XLOOKUP(orders!C524,customers!$A$1:$A$1001,customers!$G$1:$G$1001,,0)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8">
        <f>INDEX(products!$A$1:$G$49,MATCH(orders!$D524,products!$A$1:$A$49,0),MATCH(orders!L$1,products!$A$1:$G$1,0))</f>
        <v>5.97</v>
      </c>
      <c r="M524" s="9">
        <f t="shared" si="24"/>
        <v>29.849999999999998</v>
      </c>
      <c r="N524" t="str">
        <f t="shared" si="25"/>
        <v>Robusta</v>
      </c>
      <c r="O524" t="str">
        <f t="shared" si="26"/>
        <v>Mediium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_xlfn.XLOOKUP(orders!C525,customers!$A$1:$A$1001,customers!$G$1:$G$1001,,0)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8">
        <f>INDEX(products!$A$1:$G$49,MATCH(orders!$D525,products!$A$1:$A$49,0),MATCH(orders!L$1,products!$A$1:$G$1,0))</f>
        <v>29.784999999999997</v>
      </c>
      <c r="M525" s="9">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_xlfn.XLOOKUP(orders!C526,customers!$A$1:$A$1001,customers!$G$1:$G$1001,,0)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8">
        <f>INDEX(products!$A$1:$G$49,MATCH(orders!$D526,products!$A$1:$A$49,0),MATCH(orders!L$1,products!$A$1:$G$1,0))</f>
        <v>36.454999999999998</v>
      </c>
      <c r="M526" s="9">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_xlfn.XLOOKUP(orders!C527,customers!$A$1:$A$1001,customers!$G$1:$G$1001,,0)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8">
        <f>INDEX(products!$A$1:$G$49,MATCH(orders!$D527,products!$A$1:$A$49,0),MATCH(orders!L$1,products!$A$1:$G$1,0))</f>
        <v>2.6849999999999996</v>
      </c>
      <c r="M527" s="9">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_xlfn.XLOOKUP(orders!C528,customers!$A$1:$A$1001,customers!$G$1:$G$1001,,0)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8">
        <f>INDEX(products!$A$1:$G$49,MATCH(orders!$D528,products!$A$1:$A$49,0),MATCH(orders!L$1,products!$A$1:$G$1,0))</f>
        <v>31.624999999999996</v>
      </c>
      <c r="M528" s="9">
        <f t="shared" si="24"/>
        <v>126.49999999999999</v>
      </c>
      <c r="N528" t="str">
        <f t="shared" si="25"/>
        <v>Excelsa</v>
      </c>
      <c r="O528" t="str">
        <f t="shared" si="26"/>
        <v>Mediium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_xlfn.XLOOKUP(orders!C529,customers!$A$1:$A$1001,customers!$G$1:$G$1001,,0)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8">
        <f>INDEX(products!$A$1:$G$49,MATCH(orders!$D529,products!$A$1:$A$49,0),MATCH(orders!L$1,products!$A$1:$G$1,0))</f>
        <v>8.25</v>
      </c>
      <c r="M529" s="9">
        <f t="shared" si="24"/>
        <v>41.25</v>
      </c>
      <c r="N529" t="str">
        <f t="shared" si="25"/>
        <v>Excelsa</v>
      </c>
      <c r="O529" t="str">
        <f t="shared" si="26"/>
        <v>Mediium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_xlfn.XLOOKUP(orders!C530,customers!$A$1:$A$1001,customers!$G$1:$G$1001,,0)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8">
        <f>INDEX(products!$A$1:$G$49,MATCH(orders!$D530,products!$A$1:$A$49,0),MATCH(orders!L$1,products!$A$1:$G$1,0))</f>
        <v>8.91</v>
      </c>
      <c r="M530" s="9">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_xlfn.XLOOKUP(orders!C531,customers!$A$1:$A$1001,customers!$G$1:$G$1001,,0)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8">
        <f>INDEX(products!$A$1:$G$49,MATCH(orders!$D531,products!$A$1:$A$49,0),MATCH(orders!L$1,products!$A$1:$G$1,0))</f>
        <v>9.9499999999999993</v>
      </c>
      <c r="M531" s="9">
        <f t="shared" si="24"/>
        <v>59.699999999999996</v>
      </c>
      <c r="N531" t="str">
        <f t="shared" si="25"/>
        <v>Robusta</v>
      </c>
      <c r="O531" t="str">
        <f t="shared" si="26"/>
        <v>Mediium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_xlfn.XLOOKUP(orders!C532,customers!$A$1:$A$1001,customers!$G$1:$G$1001,,0)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8">
        <f>INDEX(products!$A$1:$G$49,MATCH(orders!$D532,products!$A$1:$A$49,0),MATCH(orders!L$1,products!$A$1:$G$1,0))</f>
        <v>9.9499999999999993</v>
      </c>
      <c r="M532" s="9">
        <f t="shared" si="24"/>
        <v>59.699999999999996</v>
      </c>
      <c r="N532" t="str">
        <f t="shared" si="25"/>
        <v>Robusta</v>
      </c>
      <c r="O532" t="str">
        <f t="shared" si="26"/>
        <v>Mediium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_xlfn.XLOOKUP(orders!C533,customers!$A$1:$A$1001,customers!$G$1:$G$1001,,0)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8">
        <f>INDEX(products!$A$1:$G$49,MATCH(orders!$D533,products!$A$1:$A$49,0),MATCH(orders!L$1,products!$A$1:$G$1,0))</f>
        <v>8.9499999999999993</v>
      </c>
      <c r="M533" s="9">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_xlfn.XLOOKUP(orders!C534,customers!$A$1:$A$1001,customers!$G$1:$G$1001,,0)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8">
        <f>INDEX(products!$A$1:$G$49,MATCH(orders!$D534,products!$A$1:$A$49,0),MATCH(orders!L$1,products!$A$1:$G$1,0))</f>
        <v>8.25</v>
      </c>
      <c r="M534" s="9">
        <f t="shared" si="24"/>
        <v>16.5</v>
      </c>
      <c r="N534" t="str">
        <f t="shared" si="25"/>
        <v>Excelsa</v>
      </c>
      <c r="O534" t="str">
        <f t="shared" si="26"/>
        <v>Mediium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_xlfn.XLOOKUP(orders!C535,customers!$A$1:$A$1001,customers!$G$1:$G$1001,,0)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8">
        <f>INDEX(products!$A$1:$G$49,MATCH(orders!$D535,products!$A$1:$A$49,0),MATCH(orders!L$1,products!$A$1:$G$1,0))</f>
        <v>5.3699999999999992</v>
      </c>
      <c r="M535" s="9">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_xlfn.XLOOKUP(orders!C536,customers!$A$1:$A$1001,customers!$G$1:$G$1001,,0)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8">
        <f>INDEX(products!$A$1:$G$49,MATCH(orders!$D536,products!$A$1:$A$49,0),MATCH(orders!L$1,products!$A$1:$G$1,0))</f>
        <v>22.884999999999998</v>
      </c>
      <c r="M536" s="9">
        <f t="shared" si="24"/>
        <v>45.769999999999996</v>
      </c>
      <c r="N536" t="str">
        <f t="shared" si="25"/>
        <v>Robusta</v>
      </c>
      <c r="O536" t="str">
        <f t="shared" si="26"/>
        <v>Mediium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_xlfn.XLOOKUP(orders!C537,customers!$A$1:$A$1001,customers!$G$1:$G$1001,,0)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8">
        <f>INDEX(products!$A$1:$G$49,MATCH(orders!$D537,products!$A$1:$A$49,0),MATCH(orders!L$1,products!$A$1:$G$1,0))</f>
        <v>4.7549999999999999</v>
      </c>
      <c r="M537" s="9">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_xlfn.XLOOKUP(orders!C538,customers!$A$1:$A$1001,customers!$G$1:$G$1001,,0)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8">
        <f>INDEX(products!$A$1:$G$49,MATCH(orders!$D538,products!$A$1:$A$49,0),MATCH(orders!L$1,products!$A$1:$G$1,0))</f>
        <v>2.6849999999999996</v>
      </c>
      <c r="M538" s="9">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_xlfn.XLOOKUP(orders!C539,customers!$A$1:$A$1001,customers!$G$1:$G$1001,,0)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8">
        <f>INDEX(products!$A$1:$G$49,MATCH(orders!$D539,products!$A$1:$A$49,0),MATCH(orders!L$1,products!$A$1:$G$1,0))</f>
        <v>27.945</v>
      </c>
      <c r="M539" s="9">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_xlfn.XLOOKUP(orders!C540,customers!$A$1:$A$1001,customers!$G$1:$G$1001,,0)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8">
        <f>INDEX(products!$A$1:$G$49,MATCH(orders!$D540,products!$A$1:$A$49,0),MATCH(orders!L$1,products!$A$1:$G$1,0))</f>
        <v>2.6849999999999996</v>
      </c>
      <c r="M540" s="9">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_xlfn.XLOOKUP(orders!C541,customers!$A$1:$A$1001,customers!$G$1:$G$1001,,0)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8">
        <f>INDEX(products!$A$1:$G$49,MATCH(orders!$D541,products!$A$1:$A$49,0),MATCH(orders!L$1,products!$A$1:$G$1,0))</f>
        <v>5.3699999999999992</v>
      </c>
      <c r="M541" s="9">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_xlfn.XLOOKUP(orders!C542,customers!$A$1:$A$1001,customers!$G$1:$G$1001,,0)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8">
        <f>INDEX(products!$A$1:$G$49,MATCH(orders!$D542,products!$A$1:$A$49,0),MATCH(orders!L$1,products!$A$1:$G$1,0))</f>
        <v>15.85</v>
      </c>
      <c r="M542" s="9">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_xlfn.XLOOKUP(orders!C543,customers!$A$1:$A$1001,customers!$G$1:$G$1001,,0)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8">
        <f>INDEX(products!$A$1:$G$49,MATCH(orders!$D543,products!$A$1:$A$49,0),MATCH(orders!L$1,products!$A$1:$G$1,0))</f>
        <v>22.884999999999998</v>
      </c>
      <c r="M543" s="9">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_xlfn.XLOOKUP(orders!C544,customers!$A$1:$A$1001,customers!$G$1:$G$1001,,0)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8">
        <f>INDEX(products!$A$1:$G$49,MATCH(orders!$D544,products!$A$1:$A$49,0),MATCH(orders!L$1,products!$A$1:$G$1,0))</f>
        <v>25.874999999999996</v>
      </c>
      <c r="M544" s="9">
        <f t="shared" si="24"/>
        <v>103.49999999999999</v>
      </c>
      <c r="N544" t="str">
        <f t="shared" si="25"/>
        <v>Arabica</v>
      </c>
      <c r="O544" t="str">
        <f t="shared" si="26"/>
        <v>Mediium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_xlfn.XLOOKUP(orders!C545,customers!$A$1:$A$1001,customers!$G$1:$G$1001,,0)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8">
        <f>INDEX(products!$A$1:$G$49,MATCH(orders!$D545,products!$A$1:$A$49,0),MATCH(orders!L$1,products!$A$1:$G$1,0))</f>
        <v>27.484999999999996</v>
      </c>
      <c r="M545" s="9">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_xlfn.XLOOKUP(orders!C546,customers!$A$1:$A$1001,customers!$G$1:$G$1001,,0)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8">
        <f>INDEX(products!$A$1:$G$49,MATCH(orders!$D546,products!$A$1:$A$49,0),MATCH(orders!L$1,products!$A$1:$G$1,0))</f>
        <v>7.77</v>
      </c>
      <c r="M546" s="9">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_xlfn.XLOOKUP(orders!C547,customers!$A$1:$A$1001,customers!$G$1:$G$1001,,0)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8">
        <f>INDEX(products!$A$1:$G$49,MATCH(orders!$D547,products!$A$1:$A$49,0),MATCH(orders!L$1,products!$A$1:$G$1,0))</f>
        <v>3.8849999999999998</v>
      </c>
      <c r="M547" s="9">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_xlfn.XLOOKUP(orders!C548,customers!$A$1:$A$1001,customers!$G$1:$G$1001,,0)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8">
        <f>INDEX(products!$A$1:$G$49,MATCH(orders!$D548,products!$A$1:$A$49,0),MATCH(orders!L$1,products!$A$1:$G$1,0))</f>
        <v>27.945</v>
      </c>
      <c r="M548" s="9">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_xlfn.XLOOKUP(orders!C549,customers!$A$1:$A$1001,customers!$G$1:$G$1001,,0)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8">
        <f>INDEX(products!$A$1:$G$49,MATCH(orders!$D549,products!$A$1:$A$49,0),MATCH(orders!L$1,products!$A$1:$G$1,0))</f>
        <v>3.5849999999999995</v>
      </c>
      <c r="M549" s="9">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_xlfn.XLOOKUP(orders!C550,customers!$A$1:$A$1001,customers!$G$1:$G$1001,,0)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8">
        <f>INDEX(products!$A$1:$G$49,MATCH(orders!$D550,products!$A$1:$A$49,0),MATCH(orders!L$1,products!$A$1:$G$1,0))</f>
        <v>4.4550000000000001</v>
      </c>
      <c r="M550" s="9">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_xlfn.XLOOKUP(orders!C551,customers!$A$1:$A$1001,customers!$G$1:$G$1001,,0)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8">
        <f>INDEX(products!$A$1:$G$49,MATCH(orders!$D551,products!$A$1:$A$49,0),MATCH(orders!L$1,products!$A$1:$G$1,0))</f>
        <v>4.4550000000000001</v>
      </c>
      <c r="M551" s="9">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_xlfn.XLOOKUP(orders!C552,customers!$A$1:$A$1001,customers!$G$1:$G$1001,,0)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8">
        <f>INDEX(products!$A$1:$G$49,MATCH(orders!$D552,products!$A$1:$A$49,0),MATCH(orders!L$1,products!$A$1:$G$1,0))</f>
        <v>3.8849999999999998</v>
      </c>
      <c r="M552" s="9">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_xlfn.XLOOKUP(orders!C553,customers!$A$1:$A$1001,customers!$G$1:$G$1001,,0)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8">
        <f>INDEX(products!$A$1:$G$49,MATCH(orders!$D553,products!$A$1:$A$49,0),MATCH(orders!L$1,products!$A$1:$G$1,0))</f>
        <v>3.645</v>
      </c>
      <c r="M553" s="9">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_xlfn.XLOOKUP(orders!C554,customers!$A$1:$A$1001,customers!$G$1:$G$1001,,0)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8">
        <f>INDEX(products!$A$1:$G$49,MATCH(orders!$D554,products!$A$1:$A$49,0),MATCH(orders!L$1,products!$A$1:$G$1,0))</f>
        <v>4.4550000000000001</v>
      </c>
      <c r="M554" s="9">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_xlfn.XLOOKUP(orders!C555,customers!$A$1:$A$1001,customers!$G$1:$G$1001,,0)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8">
        <f>INDEX(products!$A$1:$G$49,MATCH(orders!$D555,products!$A$1:$A$49,0),MATCH(orders!L$1,products!$A$1:$G$1,0))</f>
        <v>13.75</v>
      </c>
      <c r="M555" s="9">
        <f t="shared" si="24"/>
        <v>68.75</v>
      </c>
      <c r="N555" t="str">
        <f t="shared" si="25"/>
        <v>Excelsa</v>
      </c>
      <c r="O555" t="str">
        <f t="shared" si="26"/>
        <v>Mediium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_xlfn.XLOOKUP(orders!C556,customers!$A$1:$A$1001,customers!$G$1:$G$1001,,0)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8">
        <f>INDEX(products!$A$1:$G$49,MATCH(orders!$D556,products!$A$1:$A$49,0),MATCH(orders!L$1,products!$A$1:$G$1,0))</f>
        <v>27.484999999999996</v>
      </c>
      <c r="M556" s="9">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_xlfn.XLOOKUP(orders!C557,customers!$A$1:$A$1001,customers!$G$1:$G$1001,,0)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8">
        <f>INDEX(products!$A$1:$G$49,MATCH(orders!$D557,products!$A$1:$A$49,0),MATCH(orders!L$1,products!$A$1:$G$1,0))</f>
        <v>13.75</v>
      </c>
      <c r="M557" s="9">
        <f t="shared" si="24"/>
        <v>82.5</v>
      </c>
      <c r="N557" t="str">
        <f t="shared" si="25"/>
        <v>Excelsa</v>
      </c>
      <c r="O557" t="str">
        <f t="shared" si="26"/>
        <v>Mediium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_xlfn.XLOOKUP(orders!C558,customers!$A$1:$A$1001,customers!$G$1:$G$1001,,0)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8">
        <f>INDEX(products!$A$1:$G$49,MATCH(orders!$D558,products!$A$1:$A$49,0),MATCH(orders!L$1,products!$A$1:$G$1,0))</f>
        <v>4.3650000000000002</v>
      </c>
      <c r="M558" s="9">
        <f t="shared" si="24"/>
        <v>8.73</v>
      </c>
      <c r="N558" t="str">
        <f t="shared" si="25"/>
        <v>Liberica</v>
      </c>
      <c r="O558" t="str">
        <f t="shared" si="26"/>
        <v>Mediium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_xlfn.XLOOKUP(orders!C559,customers!$A$1:$A$1001,customers!$G$1:$G$1001,,0)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8">
        <f>INDEX(products!$A$1:$G$49,MATCH(orders!$D559,products!$A$1:$A$49,0),MATCH(orders!L$1,products!$A$1:$G$1,0))</f>
        <v>14.85</v>
      </c>
      <c r="M559" s="9">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_xlfn.XLOOKUP(orders!C560,customers!$A$1:$A$1001,customers!$G$1:$G$1001,,0)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8">
        <f>INDEX(products!$A$1:$G$49,MATCH(orders!$D560,products!$A$1:$A$49,0),MATCH(orders!L$1,products!$A$1:$G$1,0))</f>
        <v>3.8849999999999998</v>
      </c>
      <c r="M560" s="9">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_xlfn.XLOOKUP(orders!C561,customers!$A$1:$A$1001,customers!$G$1:$G$1001,,0)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8">
        <f>INDEX(products!$A$1:$G$49,MATCH(orders!$D561,products!$A$1:$A$49,0),MATCH(orders!L$1,products!$A$1:$G$1,0))</f>
        <v>12.95</v>
      </c>
      <c r="M561" s="9">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_xlfn.XLOOKUP(orders!C562,customers!$A$1:$A$1001,customers!$G$1:$G$1001,,0)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8">
        <f>INDEX(products!$A$1:$G$49,MATCH(orders!$D562,products!$A$1:$A$49,0),MATCH(orders!L$1,products!$A$1:$G$1,0))</f>
        <v>31.624999999999996</v>
      </c>
      <c r="M562" s="9">
        <f t="shared" si="24"/>
        <v>189.74999999999997</v>
      </c>
      <c r="N562" t="str">
        <f t="shared" si="25"/>
        <v>Excelsa</v>
      </c>
      <c r="O562" t="str">
        <f t="shared" si="26"/>
        <v>Mediium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_xlfn.XLOOKUP(orders!C563,customers!$A$1:$A$1001,customers!$G$1:$G$1001,,0)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8">
        <f>INDEX(products!$A$1:$G$49,MATCH(orders!$D563,products!$A$1:$A$49,0),MATCH(orders!L$1,products!$A$1:$G$1,0))</f>
        <v>2.9849999999999999</v>
      </c>
      <c r="M563" s="9">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_xlfn.XLOOKUP(orders!C564,customers!$A$1:$A$1001,customers!$G$1:$G$1001,,0)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8">
        <f>INDEX(products!$A$1:$G$49,MATCH(orders!$D564,products!$A$1:$A$49,0),MATCH(orders!L$1,products!$A$1:$G$1,0))</f>
        <v>4.7549999999999999</v>
      </c>
      <c r="M564" s="9">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_xlfn.XLOOKUP(orders!C565,customers!$A$1:$A$1001,customers!$G$1:$G$1001,,0)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8">
        <f>INDEX(products!$A$1:$G$49,MATCH(orders!$D565,products!$A$1:$A$49,0),MATCH(orders!L$1,products!$A$1:$G$1,0))</f>
        <v>13.75</v>
      </c>
      <c r="M565" s="9">
        <f t="shared" si="24"/>
        <v>82.5</v>
      </c>
      <c r="N565" t="str">
        <f t="shared" si="25"/>
        <v>Excelsa</v>
      </c>
      <c r="O565" t="str">
        <f t="shared" si="26"/>
        <v>Mediium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_xlfn.XLOOKUP(orders!C566,customers!$A$1:$A$1001,customers!$G$1:$G$1001,,0)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8">
        <f>INDEX(products!$A$1:$G$49,MATCH(orders!$D566,products!$A$1:$A$49,0),MATCH(orders!L$1,products!$A$1:$G$1,0))</f>
        <v>7.169999999999999</v>
      </c>
      <c r="M566" s="9">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_xlfn.XLOOKUP(orders!C567,customers!$A$1:$A$1001,customers!$G$1:$G$1001,,0)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8">
        <f>INDEX(products!$A$1:$G$49,MATCH(orders!$D567,products!$A$1:$A$49,0),MATCH(orders!L$1,products!$A$1:$G$1,0))</f>
        <v>20.584999999999997</v>
      </c>
      <c r="M567" s="9">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_xlfn.XLOOKUP(orders!C568,customers!$A$1:$A$1001,customers!$G$1:$G$1001,,0)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8">
        <f>INDEX(products!$A$1:$G$49,MATCH(orders!$D568,products!$A$1:$A$49,0),MATCH(orders!L$1,products!$A$1:$G$1,0))</f>
        <v>3.375</v>
      </c>
      <c r="M568" s="9">
        <f t="shared" si="24"/>
        <v>20.25</v>
      </c>
      <c r="N568" t="str">
        <f t="shared" si="25"/>
        <v>Arabica</v>
      </c>
      <c r="O568" t="str">
        <f t="shared" si="26"/>
        <v>Mediium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_xlfn.XLOOKUP(orders!C569,customers!$A$1:$A$1001,customers!$G$1:$G$1001,,0)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8">
        <f>INDEX(products!$A$1:$G$49,MATCH(orders!$D569,products!$A$1:$A$49,0),MATCH(orders!L$1,products!$A$1:$G$1,0))</f>
        <v>27.484999999999996</v>
      </c>
      <c r="M569" s="9">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_xlfn.XLOOKUP(orders!C570,customers!$A$1:$A$1001,customers!$G$1:$G$1001,,0)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8">
        <f>INDEX(products!$A$1:$G$49,MATCH(orders!$D570,products!$A$1:$A$49,0),MATCH(orders!L$1,products!$A$1:$G$1,0))</f>
        <v>4.7549999999999999</v>
      </c>
      <c r="M570" s="9">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_xlfn.XLOOKUP(orders!C571,customers!$A$1:$A$1001,customers!$G$1:$G$1001,,0)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8">
        <f>INDEX(products!$A$1:$G$49,MATCH(orders!$D571,products!$A$1:$A$49,0),MATCH(orders!L$1,products!$A$1:$G$1,0))</f>
        <v>22.884999999999998</v>
      </c>
      <c r="M571" s="9">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_xlfn.XLOOKUP(orders!C572,customers!$A$1:$A$1001,customers!$G$1:$G$1001,,0)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8">
        <f>INDEX(products!$A$1:$G$49,MATCH(orders!$D572,products!$A$1:$A$49,0),MATCH(orders!L$1,products!$A$1:$G$1,0))</f>
        <v>6.75</v>
      </c>
      <c r="M572" s="9">
        <f t="shared" si="24"/>
        <v>27</v>
      </c>
      <c r="N572" t="str">
        <f t="shared" si="25"/>
        <v>Arabica</v>
      </c>
      <c r="O572" t="str">
        <f t="shared" si="26"/>
        <v>Mediium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_xlfn.XLOOKUP(orders!C573,customers!$A$1:$A$1001,customers!$G$1:$G$1001,,0)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8">
        <f>INDEX(products!$A$1:$G$49,MATCH(orders!$D573,products!$A$1:$A$49,0),MATCH(orders!L$1,products!$A$1:$G$1,0))</f>
        <v>8.91</v>
      </c>
      <c r="M573" s="9">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_xlfn.XLOOKUP(orders!C574,customers!$A$1:$A$1001,customers!$G$1:$G$1001,,0)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8">
        <f>INDEX(products!$A$1:$G$49,MATCH(orders!$D574,products!$A$1:$A$49,0),MATCH(orders!L$1,products!$A$1:$G$1,0))</f>
        <v>2.9849999999999999</v>
      </c>
      <c r="M574" s="9">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_xlfn.XLOOKUP(orders!C575,customers!$A$1:$A$1001,customers!$G$1:$G$1001,,0)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8">
        <f>INDEX(products!$A$1:$G$49,MATCH(orders!$D575,products!$A$1:$A$49,0),MATCH(orders!L$1,products!$A$1:$G$1,0))</f>
        <v>11.25</v>
      </c>
      <c r="M575" s="9">
        <f t="shared" si="24"/>
        <v>67.5</v>
      </c>
      <c r="N575" t="str">
        <f t="shared" si="25"/>
        <v>Arabica</v>
      </c>
      <c r="O575" t="str">
        <f t="shared" si="26"/>
        <v>Mediium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_xlfn.XLOOKUP(orders!C576,customers!$A$1:$A$1001,customers!$G$1:$G$1001,,0)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8">
        <f>INDEX(products!$A$1:$G$49,MATCH(orders!$D576,products!$A$1:$A$49,0),MATCH(orders!L$1,products!$A$1:$G$1,0))</f>
        <v>3.5849999999999995</v>
      </c>
      <c r="M576" s="9">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_xlfn.XLOOKUP(orders!C577,customers!$A$1:$A$1001,customers!$G$1:$G$1001,,0)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8">
        <f>INDEX(products!$A$1:$G$49,MATCH(orders!$D577,products!$A$1:$A$49,0),MATCH(orders!L$1,products!$A$1:$G$1,0))</f>
        <v>33.464999999999996</v>
      </c>
      <c r="M577" s="9">
        <f t="shared" si="24"/>
        <v>66.929999999999993</v>
      </c>
      <c r="N577" t="str">
        <f t="shared" si="25"/>
        <v>Liberica</v>
      </c>
      <c r="O577" t="str">
        <f t="shared" si="26"/>
        <v>Mediium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_xlfn.XLOOKUP(orders!C578,customers!$A$1:$A$1001,customers!$G$1:$G$1001,,0)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8">
        <f>INDEX(products!$A$1:$G$49,MATCH(orders!$D578,products!$A$1:$A$49,0),MATCH(orders!L$1,products!$A$1:$G$1,0))</f>
        <v>2.9849999999999999</v>
      </c>
      <c r="M578" s="9">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_xlfn.XLOOKUP(orders!C579,customers!$A$1:$A$1001,customers!$G$1:$G$1001,,0)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8">
        <f>INDEX(products!$A$1:$G$49,MATCH(orders!$D579,products!$A$1:$A$49,0),MATCH(orders!L$1,products!$A$1:$G$1,0))</f>
        <v>14.55</v>
      </c>
      <c r="M579" s="9">
        <f t="shared" ref="M579:M642" si="27">L579*E579</f>
        <v>58.2</v>
      </c>
      <c r="N579" t="str">
        <f t="shared" ref="N579:N642" si="28">IF(I579="Rob","Robusta",IF(I579="exc","Excelsa",IF(I579="ara","Arabica",IF(I579="Lib","Liberica",""))))</f>
        <v>Liberica</v>
      </c>
      <c r="O579" t="str">
        <f t="shared" ref="O579:O642" si="29">IF(J579="m","Mediium",IF(J579="l","Light",IF(J579="d","Dark","")))</f>
        <v>Mediium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_xlfn.XLOOKUP(orders!C580,customers!$A$1:$A$1001,customers!$G$1:$G$1001,,0)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8">
        <f>INDEX(products!$A$1:$G$49,MATCH(orders!$D580,products!$A$1:$A$49,0),MATCH(orders!L$1,products!$A$1:$G$1,0))</f>
        <v>4.4550000000000001</v>
      </c>
      <c r="M580" s="9">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_xlfn.XLOOKUP(orders!C581,customers!$A$1:$A$1001,customers!$G$1:$G$1001,,0)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8">
        <f>INDEX(products!$A$1:$G$49,MATCH(orders!$D581,products!$A$1:$A$49,0),MATCH(orders!L$1,products!$A$1:$G$1,0))</f>
        <v>6.75</v>
      </c>
      <c r="M581" s="9">
        <f t="shared" si="27"/>
        <v>33.75</v>
      </c>
      <c r="N581" t="str">
        <f t="shared" si="28"/>
        <v>Arabica</v>
      </c>
      <c r="O581" t="str">
        <f t="shared" si="29"/>
        <v>Mediium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_xlfn.XLOOKUP(orders!C582,customers!$A$1:$A$1001,customers!$G$1:$G$1001,,0)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8">
        <f>INDEX(products!$A$1:$G$49,MATCH(orders!$D582,products!$A$1:$A$49,0),MATCH(orders!L$1,products!$A$1:$G$1,0))</f>
        <v>14.85</v>
      </c>
      <c r="M582" s="9">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_xlfn.XLOOKUP(orders!C583,customers!$A$1:$A$1001,customers!$G$1:$G$1001,,0)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8">
        <f>INDEX(products!$A$1:$G$49,MATCH(orders!$D583,products!$A$1:$A$49,0),MATCH(orders!L$1,products!$A$1:$G$1,0))</f>
        <v>8.91</v>
      </c>
      <c r="M583" s="9">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_xlfn.XLOOKUP(orders!C584,customers!$A$1:$A$1001,customers!$G$1:$G$1001,,0)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8">
        <f>INDEX(products!$A$1:$G$49,MATCH(orders!$D584,products!$A$1:$A$49,0),MATCH(orders!L$1,products!$A$1:$G$1,0))</f>
        <v>12.15</v>
      </c>
      <c r="M584" s="9">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_xlfn.XLOOKUP(orders!C585,customers!$A$1:$A$1001,customers!$G$1:$G$1001,,0)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8">
        <f>INDEX(products!$A$1:$G$49,MATCH(orders!$D585,products!$A$1:$A$49,0),MATCH(orders!L$1,products!$A$1:$G$1,0))</f>
        <v>3.5849999999999995</v>
      </c>
      <c r="M585" s="9">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_xlfn.XLOOKUP(orders!C586,customers!$A$1:$A$1001,customers!$G$1:$G$1001,,0)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8">
        <f>INDEX(products!$A$1:$G$49,MATCH(orders!$D586,products!$A$1:$A$49,0),MATCH(orders!L$1,products!$A$1:$G$1,0))</f>
        <v>3.5849999999999995</v>
      </c>
      <c r="M586" s="9">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_xlfn.XLOOKUP(orders!C587,customers!$A$1:$A$1001,customers!$G$1:$G$1001,,0)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8">
        <f>INDEX(products!$A$1:$G$49,MATCH(orders!$D587,products!$A$1:$A$49,0),MATCH(orders!L$1,products!$A$1:$G$1,0))</f>
        <v>8.25</v>
      </c>
      <c r="M587" s="9">
        <f t="shared" si="27"/>
        <v>16.5</v>
      </c>
      <c r="N587" t="str">
        <f t="shared" si="28"/>
        <v>Excelsa</v>
      </c>
      <c r="O587" t="str">
        <f t="shared" si="29"/>
        <v>Mediium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_xlfn.XLOOKUP(orders!C588,customers!$A$1:$A$1001,customers!$G$1:$G$1001,,0)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8">
        <f>INDEX(products!$A$1:$G$49,MATCH(orders!$D588,products!$A$1:$A$49,0),MATCH(orders!L$1,products!$A$1:$G$1,0))</f>
        <v>27.484999999999996</v>
      </c>
      <c r="M588" s="9">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_xlfn.XLOOKUP(orders!C589,customers!$A$1:$A$1001,customers!$G$1:$G$1001,,0)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8">
        <f>INDEX(products!$A$1:$G$49,MATCH(orders!$D589,products!$A$1:$A$49,0),MATCH(orders!L$1,products!$A$1:$G$1,0))</f>
        <v>7.77</v>
      </c>
      <c r="M589" s="9">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_xlfn.XLOOKUP(orders!C590,customers!$A$1:$A$1001,customers!$G$1:$G$1001,,0)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8">
        <f>INDEX(products!$A$1:$G$49,MATCH(orders!$D590,products!$A$1:$A$49,0),MATCH(orders!L$1,products!$A$1:$G$1,0))</f>
        <v>5.97</v>
      </c>
      <c r="M590" s="9">
        <f t="shared" si="27"/>
        <v>11.94</v>
      </c>
      <c r="N590" t="str">
        <f t="shared" si="28"/>
        <v>Robusta</v>
      </c>
      <c r="O590" t="str">
        <f t="shared" si="29"/>
        <v>Mediium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_xlfn.XLOOKUP(orders!C591,customers!$A$1:$A$1001,customers!$G$1:$G$1001,,0)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8">
        <f>INDEX(products!$A$1:$G$49,MATCH(orders!$D591,products!$A$1:$A$49,0),MATCH(orders!L$1,products!$A$1:$G$1,0))</f>
        <v>34.154999999999994</v>
      </c>
      <c r="M591" s="9">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_xlfn.XLOOKUP(orders!C592,customers!$A$1:$A$1001,customers!$G$1:$G$1001,,0)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8">
        <f>INDEX(products!$A$1:$G$49,MATCH(orders!$D592,products!$A$1:$A$49,0),MATCH(orders!L$1,products!$A$1:$G$1,0))</f>
        <v>31.624999999999996</v>
      </c>
      <c r="M592" s="9">
        <f t="shared" si="27"/>
        <v>63.249999999999993</v>
      </c>
      <c r="N592" t="str">
        <f t="shared" si="28"/>
        <v>Excelsa</v>
      </c>
      <c r="O592" t="str">
        <f t="shared" si="29"/>
        <v>Mediium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_xlfn.XLOOKUP(orders!C593,customers!$A$1:$A$1001,customers!$G$1:$G$1001,,0)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8">
        <f>INDEX(products!$A$1:$G$49,MATCH(orders!$D593,products!$A$1:$A$49,0),MATCH(orders!L$1,products!$A$1:$G$1,0))</f>
        <v>2.6849999999999996</v>
      </c>
      <c r="M593" s="9">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_xlfn.XLOOKUP(orders!C594,customers!$A$1:$A$1001,customers!$G$1:$G$1001,,0)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8">
        <f>INDEX(products!$A$1:$G$49,MATCH(orders!$D594,products!$A$1:$A$49,0),MATCH(orders!L$1,products!$A$1:$G$1,0))</f>
        <v>25.874999999999996</v>
      </c>
      <c r="M594" s="9">
        <f t="shared" si="27"/>
        <v>51.749999999999993</v>
      </c>
      <c r="N594" t="str">
        <f t="shared" si="28"/>
        <v>Arabica</v>
      </c>
      <c r="O594" t="str">
        <f t="shared" si="29"/>
        <v>Mediium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_xlfn.XLOOKUP(orders!C595,customers!$A$1:$A$1001,customers!$G$1:$G$1001,,0)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8">
        <f>INDEX(products!$A$1:$G$49,MATCH(orders!$D595,products!$A$1:$A$49,0),MATCH(orders!L$1,products!$A$1:$G$1,0))</f>
        <v>27.945</v>
      </c>
      <c r="M595" s="9">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_xlfn.XLOOKUP(orders!C596,customers!$A$1:$A$1001,customers!$G$1:$G$1001,,0)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8">
        <f>INDEX(products!$A$1:$G$49,MATCH(orders!$D596,products!$A$1:$A$49,0),MATCH(orders!L$1,products!$A$1:$G$1,0))</f>
        <v>29.784999999999997</v>
      </c>
      <c r="M596" s="9">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_xlfn.XLOOKUP(orders!C597,customers!$A$1:$A$1001,customers!$G$1:$G$1001,,0)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8">
        <f>INDEX(products!$A$1:$G$49,MATCH(orders!$D597,products!$A$1:$A$49,0),MATCH(orders!L$1,products!$A$1:$G$1,0))</f>
        <v>14.85</v>
      </c>
      <c r="M597" s="9">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_xlfn.XLOOKUP(orders!C598,customers!$A$1:$A$1001,customers!$G$1:$G$1001,,0)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8">
        <f>INDEX(products!$A$1:$G$49,MATCH(orders!$D598,products!$A$1:$A$49,0),MATCH(orders!L$1,products!$A$1:$G$1,0))</f>
        <v>6.75</v>
      </c>
      <c r="M598" s="9">
        <f t="shared" si="27"/>
        <v>33.75</v>
      </c>
      <c r="N598" t="str">
        <f t="shared" si="28"/>
        <v>Arabica</v>
      </c>
      <c r="O598" t="str">
        <f t="shared" si="29"/>
        <v>Mediium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_xlfn.XLOOKUP(orders!C599,customers!$A$1:$A$1001,customers!$G$1:$G$1001,,0)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8">
        <f>INDEX(products!$A$1:$G$49,MATCH(orders!$D599,products!$A$1:$A$49,0),MATCH(orders!L$1,products!$A$1:$G$1,0))</f>
        <v>36.454999999999998</v>
      </c>
      <c r="M599" s="9">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_xlfn.XLOOKUP(orders!C600,customers!$A$1:$A$1001,customers!$G$1:$G$1001,,0)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8">
        <f>INDEX(products!$A$1:$G$49,MATCH(orders!$D600,products!$A$1:$A$49,0),MATCH(orders!L$1,products!$A$1:$G$1,0))</f>
        <v>2.9849999999999999</v>
      </c>
      <c r="M600" s="9">
        <f t="shared" si="27"/>
        <v>11.94</v>
      </c>
      <c r="N600" t="str">
        <f t="shared" si="28"/>
        <v>Robusta</v>
      </c>
      <c r="O600" t="str">
        <f t="shared" si="29"/>
        <v>Mediium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_xlfn.XLOOKUP(orders!C601,customers!$A$1:$A$1001,customers!$G$1:$G$1001,,0)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8">
        <f>INDEX(products!$A$1:$G$49,MATCH(orders!$D601,products!$A$1:$A$49,0),MATCH(orders!L$1,products!$A$1:$G$1,0))</f>
        <v>2.9849999999999999</v>
      </c>
      <c r="M601" s="9">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_xlfn.XLOOKUP(orders!C602,customers!$A$1:$A$1001,customers!$G$1:$G$1001,,0)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8">
        <f>INDEX(products!$A$1:$G$49,MATCH(orders!$D602,products!$A$1:$A$49,0),MATCH(orders!L$1,products!$A$1:$G$1,0))</f>
        <v>7.77</v>
      </c>
      <c r="M602" s="9">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_xlfn.XLOOKUP(orders!C603,customers!$A$1:$A$1001,customers!$G$1:$G$1001,,0)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8">
        <f>INDEX(products!$A$1:$G$49,MATCH(orders!$D603,products!$A$1:$A$49,0),MATCH(orders!L$1,products!$A$1:$G$1,0))</f>
        <v>27.484999999999996</v>
      </c>
      <c r="M603" s="9">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_xlfn.XLOOKUP(orders!C604,customers!$A$1:$A$1001,customers!$G$1:$G$1001,,0)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8">
        <f>INDEX(products!$A$1:$G$49,MATCH(orders!$D604,products!$A$1:$A$49,0),MATCH(orders!L$1,products!$A$1:$G$1,0))</f>
        <v>4.4550000000000001</v>
      </c>
      <c r="M604" s="9">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_xlfn.XLOOKUP(orders!C605,customers!$A$1:$A$1001,customers!$G$1:$G$1001,,0)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8">
        <f>INDEX(products!$A$1:$G$49,MATCH(orders!$D605,products!$A$1:$A$49,0),MATCH(orders!L$1,products!$A$1:$G$1,0))</f>
        <v>2.9849999999999999</v>
      </c>
      <c r="M605" s="9">
        <f t="shared" si="27"/>
        <v>8.9550000000000001</v>
      </c>
      <c r="N605" t="str">
        <f t="shared" si="28"/>
        <v>Robusta</v>
      </c>
      <c r="O605" t="str">
        <f t="shared" si="29"/>
        <v>Mediium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_xlfn.XLOOKUP(orders!C606,customers!$A$1:$A$1001,customers!$G$1:$G$1001,,0)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8">
        <f>INDEX(products!$A$1:$G$49,MATCH(orders!$D606,products!$A$1:$A$49,0),MATCH(orders!L$1,products!$A$1:$G$1,0))</f>
        <v>29.784999999999997</v>
      </c>
      <c r="M606" s="9">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_xlfn.XLOOKUP(orders!C607,customers!$A$1:$A$1001,customers!$G$1:$G$1001,,0)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8">
        <f>INDEX(products!$A$1:$G$49,MATCH(orders!$D607,products!$A$1:$A$49,0),MATCH(orders!L$1,products!$A$1:$G$1,0))</f>
        <v>29.784999999999997</v>
      </c>
      <c r="M607" s="9">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_xlfn.XLOOKUP(orders!C608,customers!$A$1:$A$1001,customers!$G$1:$G$1001,,0)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8">
        <f>INDEX(products!$A$1:$G$49,MATCH(orders!$D608,products!$A$1:$A$49,0),MATCH(orders!L$1,products!$A$1:$G$1,0))</f>
        <v>36.454999999999998</v>
      </c>
      <c r="M608" s="9">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_xlfn.XLOOKUP(orders!C609,customers!$A$1:$A$1001,customers!$G$1:$G$1001,,0)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8">
        <f>INDEX(products!$A$1:$G$49,MATCH(orders!$D609,products!$A$1:$A$49,0),MATCH(orders!L$1,products!$A$1:$G$1,0))</f>
        <v>3.645</v>
      </c>
      <c r="M609" s="9">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_xlfn.XLOOKUP(orders!C610,customers!$A$1:$A$1001,customers!$G$1:$G$1001,,0)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8">
        <f>INDEX(products!$A$1:$G$49,MATCH(orders!$D610,products!$A$1:$A$49,0),MATCH(orders!L$1,products!$A$1:$G$1,0))</f>
        <v>27.945</v>
      </c>
      <c r="M610" s="9">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_xlfn.XLOOKUP(orders!C611,customers!$A$1:$A$1001,customers!$G$1:$G$1001,,0)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8">
        <f>INDEX(products!$A$1:$G$49,MATCH(orders!$D611,products!$A$1:$A$49,0),MATCH(orders!L$1,products!$A$1:$G$1,0))</f>
        <v>4.3650000000000002</v>
      </c>
      <c r="M611" s="9">
        <f t="shared" si="27"/>
        <v>26.19</v>
      </c>
      <c r="N611" t="str">
        <f t="shared" si="28"/>
        <v>Liberica</v>
      </c>
      <c r="O611" t="str">
        <f t="shared" si="29"/>
        <v>Mediium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_xlfn.XLOOKUP(orders!C612,customers!$A$1:$A$1001,customers!$G$1:$G$1001,,0)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8">
        <f>INDEX(products!$A$1:$G$49,MATCH(orders!$D612,products!$A$1:$A$49,0),MATCH(orders!L$1,products!$A$1:$G$1,0))</f>
        <v>9.9499999999999993</v>
      </c>
      <c r="M612" s="9">
        <f t="shared" si="27"/>
        <v>39.799999999999997</v>
      </c>
      <c r="N612" t="str">
        <f t="shared" si="28"/>
        <v>Robusta</v>
      </c>
      <c r="O612" t="str">
        <f t="shared" si="29"/>
        <v>Mediium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_xlfn.XLOOKUP(orders!C613,customers!$A$1:$A$1001,customers!$G$1:$G$1001,,0)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8">
        <f>INDEX(products!$A$1:$G$49,MATCH(orders!$D613,products!$A$1:$A$49,0),MATCH(orders!L$1,products!$A$1:$G$1,0))</f>
        <v>34.154999999999994</v>
      </c>
      <c r="M613" s="9">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_xlfn.XLOOKUP(orders!C614,customers!$A$1:$A$1001,customers!$G$1:$G$1001,,0)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8">
        <f>INDEX(products!$A$1:$G$49,MATCH(orders!$D614,products!$A$1:$A$49,0),MATCH(orders!L$1,products!$A$1:$G$1,0))</f>
        <v>3.375</v>
      </c>
      <c r="M614" s="9">
        <f t="shared" si="27"/>
        <v>13.5</v>
      </c>
      <c r="N614" t="str">
        <f t="shared" si="28"/>
        <v>Arabica</v>
      </c>
      <c r="O614" t="str">
        <f t="shared" si="29"/>
        <v>Mediium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_xlfn.XLOOKUP(orders!C615,customers!$A$1:$A$1001,customers!$G$1:$G$1001,,0)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8">
        <f>INDEX(products!$A$1:$G$49,MATCH(orders!$D615,products!$A$1:$A$49,0),MATCH(orders!L$1,products!$A$1:$G$1,0))</f>
        <v>5.97</v>
      </c>
      <c r="M615" s="9">
        <f t="shared" si="27"/>
        <v>5.97</v>
      </c>
      <c r="N615" t="str">
        <f t="shared" si="28"/>
        <v>Robusta</v>
      </c>
      <c r="O615" t="str">
        <f t="shared" si="29"/>
        <v>Mediium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_xlfn.XLOOKUP(orders!C616,customers!$A$1:$A$1001,customers!$G$1:$G$1001,,0)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8">
        <f>INDEX(products!$A$1:$G$49,MATCH(orders!$D616,products!$A$1:$A$49,0),MATCH(orders!L$1,products!$A$1:$G$1,0))</f>
        <v>5.97</v>
      </c>
      <c r="M616" s="9">
        <f t="shared" si="27"/>
        <v>29.849999999999998</v>
      </c>
      <c r="N616" t="str">
        <f t="shared" si="28"/>
        <v>Robusta</v>
      </c>
      <c r="O616" t="str">
        <f t="shared" si="29"/>
        <v>Mediium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_xlfn.XLOOKUP(orders!C617,customers!$A$1:$A$1001,customers!$G$1:$G$1001,,0)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8">
        <f>INDEX(products!$A$1:$G$49,MATCH(orders!$D617,products!$A$1:$A$49,0),MATCH(orders!L$1,products!$A$1:$G$1,0))</f>
        <v>36.454999999999998</v>
      </c>
      <c r="M617" s="9">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_xlfn.XLOOKUP(orders!C618,customers!$A$1:$A$1001,customers!$G$1:$G$1001,,0)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8">
        <f>INDEX(products!$A$1:$G$49,MATCH(orders!$D618,products!$A$1:$A$49,0),MATCH(orders!L$1,products!$A$1:$G$1,0))</f>
        <v>31.624999999999996</v>
      </c>
      <c r="M618" s="9">
        <f t="shared" si="27"/>
        <v>126.49999999999999</v>
      </c>
      <c r="N618" t="str">
        <f t="shared" si="28"/>
        <v>Excelsa</v>
      </c>
      <c r="O618" t="str">
        <f t="shared" si="29"/>
        <v>Mediium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_xlfn.XLOOKUP(orders!C619,customers!$A$1:$A$1001,customers!$G$1:$G$1001,,0)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8">
        <f>INDEX(products!$A$1:$G$49,MATCH(orders!$D619,products!$A$1:$A$49,0),MATCH(orders!L$1,products!$A$1:$G$1,0))</f>
        <v>33.464999999999996</v>
      </c>
      <c r="M619" s="9">
        <f t="shared" si="27"/>
        <v>33.464999999999996</v>
      </c>
      <c r="N619" t="str">
        <f t="shared" si="28"/>
        <v>Liberica</v>
      </c>
      <c r="O619" t="str">
        <f t="shared" si="29"/>
        <v>Mediium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_xlfn.XLOOKUP(orders!C620,customers!$A$1:$A$1001,customers!$G$1:$G$1001,,0)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8">
        <f>INDEX(products!$A$1:$G$49,MATCH(orders!$D620,products!$A$1:$A$49,0),MATCH(orders!L$1,products!$A$1:$G$1,0))</f>
        <v>12.15</v>
      </c>
      <c r="M620" s="9">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_xlfn.XLOOKUP(orders!C621,customers!$A$1:$A$1001,customers!$G$1:$G$1001,,0)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8">
        <f>INDEX(products!$A$1:$G$49,MATCH(orders!$D621,products!$A$1:$A$49,0),MATCH(orders!L$1,products!$A$1:$G$1,0))</f>
        <v>7.77</v>
      </c>
      <c r="M621" s="9">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_xlfn.XLOOKUP(orders!C622,customers!$A$1:$A$1001,customers!$G$1:$G$1001,,0)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8">
        <f>INDEX(products!$A$1:$G$49,MATCH(orders!$D622,products!$A$1:$A$49,0),MATCH(orders!L$1,products!$A$1:$G$1,0))</f>
        <v>3.375</v>
      </c>
      <c r="M622" s="9">
        <f t="shared" si="27"/>
        <v>20.25</v>
      </c>
      <c r="N622" t="str">
        <f t="shared" si="28"/>
        <v>Arabica</v>
      </c>
      <c r="O622" t="str">
        <f t="shared" si="29"/>
        <v>Mediium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_xlfn.XLOOKUP(orders!C623,customers!$A$1:$A$1001,customers!$G$1:$G$1001,,0)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8">
        <f>INDEX(products!$A$1:$G$49,MATCH(orders!$D623,products!$A$1:$A$49,0),MATCH(orders!L$1,products!$A$1:$G$1,0))</f>
        <v>12.95</v>
      </c>
      <c r="M623" s="9">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_xlfn.XLOOKUP(orders!C624,customers!$A$1:$A$1001,customers!$G$1:$G$1001,,0)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8">
        <f>INDEX(products!$A$1:$G$49,MATCH(orders!$D624,products!$A$1:$A$49,0),MATCH(orders!L$1,products!$A$1:$G$1,0))</f>
        <v>33.464999999999996</v>
      </c>
      <c r="M624" s="9">
        <f t="shared" si="27"/>
        <v>133.85999999999999</v>
      </c>
      <c r="N624" t="str">
        <f t="shared" si="28"/>
        <v>Liberica</v>
      </c>
      <c r="O624" t="str">
        <f t="shared" si="29"/>
        <v>Mediium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_xlfn.XLOOKUP(orders!C625,customers!$A$1:$A$1001,customers!$G$1:$G$1001,,0)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8">
        <f>INDEX(products!$A$1:$G$49,MATCH(orders!$D625,products!$A$1:$A$49,0),MATCH(orders!L$1,products!$A$1:$G$1,0))</f>
        <v>12.15</v>
      </c>
      <c r="M625" s="9">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_xlfn.XLOOKUP(orders!C626,customers!$A$1:$A$1001,customers!$G$1:$G$1001,,0)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8">
        <f>INDEX(products!$A$1:$G$49,MATCH(orders!$D626,products!$A$1:$A$49,0),MATCH(orders!L$1,products!$A$1:$G$1,0))</f>
        <v>31.624999999999996</v>
      </c>
      <c r="M626" s="9">
        <f t="shared" si="27"/>
        <v>63.249999999999993</v>
      </c>
      <c r="N626" t="str">
        <f t="shared" si="28"/>
        <v>Excelsa</v>
      </c>
      <c r="O626" t="str">
        <f t="shared" si="29"/>
        <v>Mediium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_xlfn.XLOOKUP(orders!C627,customers!$A$1:$A$1001,customers!$G$1:$G$1001,,0)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8">
        <f>INDEX(products!$A$1:$G$49,MATCH(orders!$D627,products!$A$1:$A$49,0),MATCH(orders!L$1,products!$A$1:$G$1,0))</f>
        <v>7.169999999999999</v>
      </c>
      <c r="M627" s="9">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_xlfn.XLOOKUP(orders!C628,customers!$A$1:$A$1001,customers!$G$1:$G$1001,,0)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8">
        <f>INDEX(products!$A$1:$G$49,MATCH(orders!$D628,products!$A$1:$A$49,0),MATCH(orders!L$1,products!$A$1:$G$1,0))</f>
        <v>25.874999999999996</v>
      </c>
      <c r="M628" s="9">
        <f t="shared" si="27"/>
        <v>77.624999999999986</v>
      </c>
      <c r="N628" t="str">
        <f t="shared" si="28"/>
        <v>Arabica</v>
      </c>
      <c r="O628" t="str">
        <f t="shared" si="29"/>
        <v>Mediium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_xlfn.XLOOKUP(orders!C629,customers!$A$1:$A$1001,customers!$G$1:$G$1001,,0)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8">
        <f>INDEX(products!$A$1:$G$49,MATCH(orders!$D629,products!$A$1:$A$49,0),MATCH(orders!L$1,products!$A$1:$G$1,0))</f>
        <v>31.624999999999996</v>
      </c>
      <c r="M629" s="9">
        <f t="shared" si="27"/>
        <v>63.249999999999993</v>
      </c>
      <c r="N629" t="str">
        <f t="shared" si="28"/>
        <v>Excelsa</v>
      </c>
      <c r="O629" t="str">
        <f t="shared" si="29"/>
        <v>Mediium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_xlfn.XLOOKUP(orders!C630,customers!$A$1:$A$1001,customers!$G$1:$G$1001,,0)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8">
        <f>INDEX(products!$A$1:$G$49,MATCH(orders!$D630,products!$A$1:$A$49,0),MATCH(orders!L$1,products!$A$1:$G$1,0))</f>
        <v>4.4550000000000001</v>
      </c>
      <c r="M630" s="9">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_xlfn.XLOOKUP(orders!C631,customers!$A$1:$A$1001,customers!$G$1:$G$1001,,0)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8">
        <f>INDEX(products!$A$1:$G$49,MATCH(orders!$D631,products!$A$1:$A$49,0),MATCH(orders!L$1,products!$A$1:$G$1,0))</f>
        <v>7.77</v>
      </c>
      <c r="M631" s="9">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_xlfn.XLOOKUP(orders!C632,customers!$A$1:$A$1001,customers!$G$1:$G$1001,,0)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8">
        <f>INDEX(products!$A$1:$G$49,MATCH(orders!$D632,products!$A$1:$A$49,0),MATCH(orders!L$1,products!$A$1:$G$1,0))</f>
        <v>2.9849999999999999</v>
      </c>
      <c r="M632" s="9">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_xlfn.XLOOKUP(orders!C633,customers!$A$1:$A$1001,customers!$G$1:$G$1001,,0)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8">
        <f>INDEX(products!$A$1:$G$49,MATCH(orders!$D633,products!$A$1:$A$49,0),MATCH(orders!L$1,products!$A$1:$G$1,0))</f>
        <v>20.584999999999997</v>
      </c>
      <c r="M633" s="9">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_xlfn.XLOOKUP(orders!C634,customers!$A$1:$A$1001,customers!$G$1:$G$1001,,0)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8">
        <f>INDEX(products!$A$1:$G$49,MATCH(orders!$D634,products!$A$1:$A$49,0),MATCH(orders!L$1,products!$A$1:$G$1,0))</f>
        <v>8.91</v>
      </c>
      <c r="M634" s="9">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_xlfn.XLOOKUP(orders!C635,customers!$A$1:$A$1001,customers!$G$1:$G$1001,,0)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8">
        <f>INDEX(products!$A$1:$G$49,MATCH(orders!$D635,products!$A$1:$A$49,0),MATCH(orders!L$1,products!$A$1:$G$1,0))</f>
        <v>11.95</v>
      </c>
      <c r="M635" s="9">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_xlfn.XLOOKUP(orders!C636,customers!$A$1:$A$1001,customers!$G$1:$G$1001,,0)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8">
        <f>INDEX(products!$A$1:$G$49,MATCH(orders!$D636,products!$A$1:$A$49,0),MATCH(orders!L$1,products!$A$1:$G$1,0))</f>
        <v>14.55</v>
      </c>
      <c r="M636" s="9">
        <f t="shared" si="27"/>
        <v>43.650000000000006</v>
      </c>
      <c r="N636" t="str">
        <f t="shared" si="28"/>
        <v>Liberica</v>
      </c>
      <c r="O636" t="str">
        <f t="shared" si="29"/>
        <v>Mediium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_xlfn.XLOOKUP(orders!C637,customers!$A$1:$A$1001,customers!$G$1:$G$1001,,0)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8">
        <f>INDEX(products!$A$1:$G$49,MATCH(orders!$D637,products!$A$1:$A$49,0),MATCH(orders!L$1,products!$A$1:$G$1,0))</f>
        <v>8.91</v>
      </c>
      <c r="M637" s="9">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_xlfn.XLOOKUP(orders!C638,customers!$A$1:$A$1001,customers!$G$1:$G$1001,,0)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8">
        <f>INDEX(products!$A$1:$G$49,MATCH(orders!$D638,products!$A$1:$A$49,0),MATCH(orders!L$1,products!$A$1:$G$1,0))</f>
        <v>15.85</v>
      </c>
      <c r="M638" s="9">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_xlfn.XLOOKUP(orders!C639,customers!$A$1:$A$1001,customers!$G$1:$G$1001,,0)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8">
        <f>INDEX(products!$A$1:$G$49,MATCH(orders!$D639,products!$A$1:$A$49,0),MATCH(orders!L$1,products!$A$1:$G$1,0))</f>
        <v>31.624999999999996</v>
      </c>
      <c r="M639" s="9">
        <f t="shared" si="27"/>
        <v>31.624999999999996</v>
      </c>
      <c r="N639" t="str">
        <f t="shared" si="28"/>
        <v>Excelsa</v>
      </c>
      <c r="O639" t="str">
        <f t="shared" si="29"/>
        <v>Mediium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_xlfn.XLOOKUP(orders!C640,customers!$A$1:$A$1001,customers!$G$1:$G$1001,,0)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8">
        <f>INDEX(products!$A$1:$G$49,MATCH(orders!$D640,products!$A$1:$A$49,0),MATCH(orders!L$1,products!$A$1:$G$1,0))</f>
        <v>25.874999999999996</v>
      </c>
      <c r="M640" s="9">
        <f t="shared" si="27"/>
        <v>77.624999999999986</v>
      </c>
      <c r="N640" t="str">
        <f t="shared" si="28"/>
        <v>Arabica</v>
      </c>
      <c r="O640" t="str">
        <f t="shared" si="29"/>
        <v>Mediium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_xlfn.XLOOKUP(orders!C641,customers!$A$1:$A$1001,customers!$G$1:$G$1001,,0)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8">
        <f>INDEX(products!$A$1:$G$49,MATCH(orders!$D641,products!$A$1:$A$49,0),MATCH(orders!L$1,products!$A$1:$G$1,0))</f>
        <v>3.8849999999999998</v>
      </c>
      <c r="M641" s="9">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_xlfn.XLOOKUP(orders!C642,customers!$A$1:$A$1001,customers!$G$1:$G$1001,,0)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8">
        <f>INDEX(products!$A$1:$G$49,MATCH(orders!$D642,products!$A$1:$A$49,0),MATCH(orders!L$1,products!$A$1:$G$1,0))</f>
        <v>27.484999999999996</v>
      </c>
      <c r="M642" s="9">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_xlfn.XLOOKUP(orders!C643,customers!$A$1:$A$1001,customers!$G$1:$G$1001,,0)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8">
        <f>INDEX(products!$A$1:$G$49,MATCH(orders!$D643,products!$A$1:$A$49,0),MATCH(orders!L$1,products!$A$1:$G$1,0))</f>
        <v>11.95</v>
      </c>
      <c r="M643" s="9">
        <f t="shared" ref="M643:M706" si="30">L643*E643</f>
        <v>35.849999999999994</v>
      </c>
      <c r="N643" t="str">
        <f t="shared" ref="N643:N706" si="31">IF(I643="Rob","Robusta",IF(I643="exc","Excelsa",IF(I643="ara","Arabica",IF(I643="Lib","Liberica",""))))</f>
        <v>Robusta</v>
      </c>
      <c r="O643" t="str">
        <f t="shared" ref="O643:O706" si="32">IF(J643="m","Mediium",IF(J643="l","Light",IF(J643="d","Dark","")))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_xlfn.XLOOKUP(orders!C644,customers!$A$1:$A$1001,customers!$G$1:$G$1001,,0)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8">
        <f>INDEX(products!$A$1:$G$49,MATCH(orders!$D644,products!$A$1:$A$49,0),MATCH(orders!L$1,products!$A$1:$G$1,0))</f>
        <v>4.125</v>
      </c>
      <c r="M644" s="9">
        <f t="shared" si="30"/>
        <v>8.25</v>
      </c>
      <c r="N644" t="str">
        <f t="shared" si="31"/>
        <v>Excelsa</v>
      </c>
      <c r="O644" t="str">
        <f t="shared" si="32"/>
        <v>Mediium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_xlfn.XLOOKUP(orders!C645,customers!$A$1:$A$1001,customers!$G$1:$G$1001,,0)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8">
        <f>INDEX(products!$A$1:$G$49,MATCH(orders!$D645,products!$A$1:$A$49,0),MATCH(orders!L$1,products!$A$1:$G$1,0))</f>
        <v>34.154999999999994</v>
      </c>
      <c r="M645" s="9">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_xlfn.XLOOKUP(orders!C646,customers!$A$1:$A$1001,customers!$G$1:$G$1001,,0)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8">
        <f>INDEX(products!$A$1:$G$49,MATCH(orders!$D646,products!$A$1:$A$49,0),MATCH(orders!L$1,products!$A$1:$G$1,0))</f>
        <v>20.584999999999997</v>
      </c>
      <c r="M646" s="9">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_xlfn.XLOOKUP(orders!C647,customers!$A$1:$A$1001,customers!$G$1:$G$1001,,0)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8">
        <f>INDEX(products!$A$1:$G$49,MATCH(orders!$D647,products!$A$1:$A$49,0),MATCH(orders!L$1,products!$A$1:$G$1,0))</f>
        <v>22.884999999999998</v>
      </c>
      <c r="M647" s="9">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_xlfn.XLOOKUP(orders!C648,customers!$A$1:$A$1001,customers!$G$1:$G$1001,,0)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8">
        <f>INDEX(products!$A$1:$G$49,MATCH(orders!$D648,products!$A$1:$A$49,0),MATCH(orders!L$1,products!$A$1:$G$1,0))</f>
        <v>9.9499999999999993</v>
      </c>
      <c r="M648" s="9">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_xlfn.XLOOKUP(orders!C649,customers!$A$1:$A$1001,customers!$G$1:$G$1001,,0)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8">
        <f>INDEX(products!$A$1:$G$49,MATCH(orders!$D649,products!$A$1:$A$49,0),MATCH(orders!L$1,products!$A$1:$G$1,0))</f>
        <v>9.51</v>
      </c>
      <c r="M649" s="9">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_xlfn.XLOOKUP(orders!C650,customers!$A$1:$A$1001,customers!$G$1:$G$1001,,0)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8">
        <f>INDEX(products!$A$1:$G$49,MATCH(orders!$D650,products!$A$1:$A$49,0),MATCH(orders!L$1,products!$A$1:$G$1,0))</f>
        <v>2.6849999999999996</v>
      </c>
      <c r="M650" s="9">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_xlfn.XLOOKUP(orders!C651,customers!$A$1:$A$1001,customers!$G$1:$G$1001,,0)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8">
        <f>INDEX(products!$A$1:$G$49,MATCH(orders!$D651,products!$A$1:$A$49,0),MATCH(orders!L$1,products!$A$1:$G$1,0))</f>
        <v>15.85</v>
      </c>
      <c r="M651" s="9">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_xlfn.XLOOKUP(orders!C652,customers!$A$1:$A$1001,customers!$G$1:$G$1001,,0)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8">
        <f>INDEX(products!$A$1:$G$49,MATCH(orders!$D652,products!$A$1:$A$49,0),MATCH(orders!L$1,products!$A$1:$G$1,0))</f>
        <v>5.3699999999999992</v>
      </c>
      <c r="M652" s="9">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_xlfn.XLOOKUP(orders!C653,customers!$A$1:$A$1001,customers!$G$1:$G$1001,,0)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8">
        <f>INDEX(products!$A$1:$G$49,MATCH(orders!$D653,products!$A$1:$A$49,0),MATCH(orders!L$1,products!$A$1:$G$1,0))</f>
        <v>11.95</v>
      </c>
      <c r="M653" s="9">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_xlfn.XLOOKUP(orders!C654,customers!$A$1:$A$1001,customers!$G$1:$G$1001,,0)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8">
        <f>INDEX(products!$A$1:$G$49,MATCH(orders!$D654,products!$A$1:$A$49,0),MATCH(orders!L$1,products!$A$1:$G$1,0))</f>
        <v>15.85</v>
      </c>
      <c r="M654" s="9">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_xlfn.XLOOKUP(orders!C655,customers!$A$1:$A$1001,customers!$G$1:$G$1001,,0)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8">
        <f>INDEX(products!$A$1:$G$49,MATCH(orders!$D655,products!$A$1:$A$49,0),MATCH(orders!L$1,products!$A$1:$G$1,0))</f>
        <v>25.874999999999996</v>
      </c>
      <c r="M655" s="9">
        <f t="shared" si="30"/>
        <v>103.49999999999999</v>
      </c>
      <c r="N655" t="str">
        <f t="shared" si="31"/>
        <v>Arabica</v>
      </c>
      <c r="O655" t="str">
        <f t="shared" si="32"/>
        <v>Mediium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_xlfn.XLOOKUP(orders!C656,customers!$A$1:$A$1001,customers!$G$1:$G$1001,,0)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8">
        <f>INDEX(products!$A$1:$G$49,MATCH(orders!$D656,products!$A$1:$A$49,0),MATCH(orders!L$1,products!$A$1:$G$1,0))</f>
        <v>22.884999999999998</v>
      </c>
      <c r="M656" s="9">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_xlfn.XLOOKUP(orders!C657,customers!$A$1:$A$1001,customers!$G$1:$G$1001,,0)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8">
        <f>INDEX(products!$A$1:$G$49,MATCH(orders!$D657,products!$A$1:$A$49,0),MATCH(orders!L$1,products!$A$1:$G$1,0))</f>
        <v>22.884999999999998</v>
      </c>
      <c r="M657" s="9">
        <f t="shared" si="30"/>
        <v>45.769999999999996</v>
      </c>
      <c r="N657" t="str">
        <f t="shared" si="31"/>
        <v>Robusta</v>
      </c>
      <c r="O657" t="str">
        <f t="shared" si="32"/>
        <v>Mediium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_xlfn.XLOOKUP(orders!C658,customers!$A$1:$A$1001,customers!$G$1:$G$1001,,0)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8">
        <f>INDEX(products!$A$1:$G$49,MATCH(orders!$D658,products!$A$1:$A$49,0),MATCH(orders!L$1,products!$A$1:$G$1,0))</f>
        <v>12.95</v>
      </c>
      <c r="M658" s="9">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_xlfn.XLOOKUP(orders!C659,customers!$A$1:$A$1001,customers!$G$1:$G$1001,,0)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8">
        <f>INDEX(products!$A$1:$G$49,MATCH(orders!$D659,products!$A$1:$A$49,0),MATCH(orders!L$1,products!$A$1:$G$1,0))</f>
        <v>6.75</v>
      </c>
      <c r="M659" s="9">
        <f t="shared" si="30"/>
        <v>13.5</v>
      </c>
      <c r="N659" t="str">
        <f t="shared" si="31"/>
        <v>Arabica</v>
      </c>
      <c r="O659" t="str">
        <f t="shared" si="32"/>
        <v>Mediium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_xlfn.XLOOKUP(orders!C660,customers!$A$1:$A$1001,customers!$G$1:$G$1001,,0)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8">
        <f>INDEX(products!$A$1:$G$49,MATCH(orders!$D660,products!$A$1:$A$49,0),MATCH(orders!L$1,products!$A$1:$G$1,0))</f>
        <v>8.25</v>
      </c>
      <c r="M660" s="9">
        <f t="shared" si="30"/>
        <v>24.75</v>
      </c>
      <c r="N660" t="str">
        <f t="shared" si="31"/>
        <v>Excelsa</v>
      </c>
      <c r="O660" t="str">
        <f t="shared" si="32"/>
        <v>Mediium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_xlfn.XLOOKUP(orders!C661,customers!$A$1:$A$1001,customers!$G$1:$G$1001,,0)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8">
        <f>INDEX(products!$A$1:$G$49,MATCH(orders!$D661,products!$A$1:$A$49,0),MATCH(orders!L$1,products!$A$1:$G$1,0))</f>
        <v>22.884999999999998</v>
      </c>
      <c r="M661" s="9">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_xlfn.XLOOKUP(orders!C662,customers!$A$1:$A$1001,customers!$G$1:$G$1001,,0)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8">
        <f>INDEX(products!$A$1:$G$49,MATCH(orders!$D662,products!$A$1:$A$49,0),MATCH(orders!L$1,products!$A$1:$G$1,0))</f>
        <v>8.91</v>
      </c>
      <c r="M662" s="9">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_xlfn.XLOOKUP(orders!C663,customers!$A$1:$A$1001,customers!$G$1:$G$1001,,0)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8">
        <f>INDEX(products!$A$1:$G$49,MATCH(orders!$D663,products!$A$1:$A$49,0),MATCH(orders!L$1,products!$A$1:$G$1,0))</f>
        <v>3.375</v>
      </c>
      <c r="M663" s="9">
        <f t="shared" si="30"/>
        <v>20.25</v>
      </c>
      <c r="N663" t="str">
        <f t="shared" si="31"/>
        <v>Arabica</v>
      </c>
      <c r="O663" t="str">
        <f t="shared" si="32"/>
        <v>Mediium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_xlfn.XLOOKUP(orders!C664,customers!$A$1:$A$1001,customers!$G$1:$G$1001,,0)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8">
        <f>INDEX(products!$A$1:$G$49,MATCH(orders!$D664,products!$A$1:$A$49,0),MATCH(orders!L$1,products!$A$1:$G$1,0))</f>
        <v>29.784999999999997</v>
      </c>
      <c r="M664" s="9">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_xlfn.XLOOKUP(orders!C665,customers!$A$1:$A$1001,customers!$G$1:$G$1001,,0)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8">
        <f>INDEX(products!$A$1:$G$49,MATCH(orders!$D665,products!$A$1:$A$49,0),MATCH(orders!L$1,products!$A$1:$G$1,0))</f>
        <v>11.25</v>
      </c>
      <c r="M665" s="9">
        <f t="shared" si="30"/>
        <v>67.5</v>
      </c>
      <c r="N665" t="str">
        <f t="shared" si="31"/>
        <v>Arabica</v>
      </c>
      <c r="O665" t="str">
        <f t="shared" si="32"/>
        <v>Mediium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_xlfn.XLOOKUP(orders!C666,customers!$A$1:$A$1001,customers!$G$1:$G$1001,,0)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8">
        <f>INDEX(products!$A$1:$G$49,MATCH(orders!$D666,products!$A$1:$A$49,0),MATCH(orders!L$1,products!$A$1:$G$1,0))</f>
        <v>12.15</v>
      </c>
      <c r="M666" s="9">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_xlfn.XLOOKUP(orders!C667,customers!$A$1:$A$1001,customers!$G$1:$G$1001,,0)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8">
        <f>INDEX(products!$A$1:$G$49,MATCH(orders!$D667,products!$A$1:$A$49,0),MATCH(orders!L$1,products!$A$1:$G$1,0))</f>
        <v>3.8849999999999998</v>
      </c>
      <c r="M667" s="9">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_xlfn.XLOOKUP(orders!C668,customers!$A$1:$A$1001,customers!$G$1:$G$1001,,0)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8">
        <f>INDEX(products!$A$1:$G$49,MATCH(orders!$D668,products!$A$1:$A$49,0),MATCH(orders!L$1,products!$A$1:$G$1,0))</f>
        <v>22.884999999999998</v>
      </c>
      <c r="M668" s="9">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_xlfn.XLOOKUP(orders!C669,customers!$A$1:$A$1001,customers!$G$1:$G$1001,,0)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8">
        <f>INDEX(products!$A$1:$G$49,MATCH(orders!$D669,products!$A$1:$A$49,0),MATCH(orders!L$1,products!$A$1:$G$1,0))</f>
        <v>9.9499999999999993</v>
      </c>
      <c r="M669" s="9">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_xlfn.XLOOKUP(orders!C670,customers!$A$1:$A$1001,customers!$G$1:$G$1001,,0)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8">
        <f>INDEX(products!$A$1:$G$49,MATCH(orders!$D670,products!$A$1:$A$49,0),MATCH(orders!L$1,products!$A$1:$G$1,0))</f>
        <v>27.484999999999996</v>
      </c>
      <c r="M670" s="9">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_xlfn.XLOOKUP(orders!C671,customers!$A$1:$A$1001,customers!$G$1:$G$1001,,0)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8">
        <f>INDEX(products!$A$1:$G$49,MATCH(orders!$D671,products!$A$1:$A$49,0),MATCH(orders!L$1,products!$A$1:$G$1,0))</f>
        <v>33.464999999999996</v>
      </c>
      <c r="M671" s="9">
        <f t="shared" si="30"/>
        <v>66.929999999999993</v>
      </c>
      <c r="N671" t="str">
        <f t="shared" si="31"/>
        <v>Liberica</v>
      </c>
      <c r="O671" t="str">
        <f t="shared" si="32"/>
        <v>Mediium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_xlfn.XLOOKUP(orders!C672,customers!$A$1:$A$1001,customers!$G$1:$G$1001,,0)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8">
        <f>INDEX(products!$A$1:$G$49,MATCH(orders!$D672,products!$A$1:$A$49,0),MATCH(orders!L$1,products!$A$1:$G$1,0))</f>
        <v>4.3650000000000002</v>
      </c>
      <c r="M672" s="9">
        <f t="shared" si="30"/>
        <v>13.095000000000001</v>
      </c>
      <c r="N672" t="str">
        <f t="shared" si="31"/>
        <v>Liberica</v>
      </c>
      <c r="O672" t="str">
        <f t="shared" si="32"/>
        <v>Mediium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_xlfn.XLOOKUP(orders!C673,customers!$A$1:$A$1001,customers!$G$1:$G$1001,,0)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8">
        <f>INDEX(products!$A$1:$G$49,MATCH(orders!$D673,products!$A$1:$A$49,0),MATCH(orders!L$1,products!$A$1:$G$1,0))</f>
        <v>11.95</v>
      </c>
      <c r="M673" s="9">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_xlfn.XLOOKUP(orders!C674,customers!$A$1:$A$1001,customers!$G$1:$G$1001,,0)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8">
        <f>INDEX(products!$A$1:$G$49,MATCH(orders!$D674,products!$A$1:$A$49,0),MATCH(orders!L$1,products!$A$1:$G$1,0))</f>
        <v>8.73</v>
      </c>
      <c r="M674" s="9">
        <f t="shared" si="30"/>
        <v>43.650000000000006</v>
      </c>
      <c r="N674" t="str">
        <f t="shared" si="31"/>
        <v>Liberica</v>
      </c>
      <c r="O674" t="str">
        <f t="shared" si="32"/>
        <v>Mediium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_xlfn.XLOOKUP(orders!C675,customers!$A$1:$A$1001,customers!$G$1:$G$1001,,0)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8">
        <f>INDEX(products!$A$1:$G$49,MATCH(orders!$D675,products!$A$1:$A$49,0),MATCH(orders!L$1,products!$A$1:$G$1,0))</f>
        <v>13.75</v>
      </c>
      <c r="M675" s="9">
        <f t="shared" si="30"/>
        <v>82.5</v>
      </c>
      <c r="N675" t="str">
        <f t="shared" si="31"/>
        <v>Excelsa</v>
      </c>
      <c r="O675" t="str">
        <f t="shared" si="32"/>
        <v>Mediium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_xlfn.XLOOKUP(orders!C676,customers!$A$1:$A$1001,customers!$G$1:$G$1001,,0)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8">
        <f>INDEX(products!$A$1:$G$49,MATCH(orders!$D676,products!$A$1:$A$49,0),MATCH(orders!L$1,products!$A$1:$G$1,0))</f>
        <v>29.784999999999997</v>
      </c>
      <c r="M676" s="9">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_xlfn.XLOOKUP(orders!C677,customers!$A$1:$A$1001,customers!$G$1:$G$1001,,0)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8">
        <f>INDEX(products!$A$1:$G$49,MATCH(orders!$D677,products!$A$1:$A$49,0),MATCH(orders!L$1,products!$A$1:$G$1,0))</f>
        <v>29.784999999999997</v>
      </c>
      <c r="M677" s="9">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_xlfn.XLOOKUP(orders!C678,customers!$A$1:$A$1001,customers!$G$1:$G$1001,,0)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8">
        <f>INDEX(products!$A$1:$G$49,MATCH(orders!$D678,products!$A$1:$A$49,0),MATCH(orders!L$1,products!$A$1:$G$1,0))</f>
        <v>9.51</v>
      </c>
      <c r="M678" s="9">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_xlfn.XLOOKUP(orders!C679,customers!$A$1:$A$1001,customers!$G$1:$G$1001,,0)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8">
        <f>INDEX(products!$A$1:$G$49,MATCH(orders!$D679,products!$A$1:$A$49,0),MATCH(orders!L$1,products!$A$1:$G$1,0))</f>
        <v>8.73</v>
      </c>
      <c r="M679" s="9">
        <f t="shared" si="30"/>
        <v>43.650000000000006</v>
      </c>
      <c r="N679" t="str">
        <f t="shared" si="31"/>
        <v>Liberica</v>
      </c>
      <c r="O679" t="str">
        <f t="shared" si="32"/>
        <v>Mediium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_xlfn.XLOOKUP(orders!C680,customers!$A$1:$A$1001,customers!$G$1:$G$1001,,0)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8">
        <f>INDEX(products!$A$1:$G$49,MATCH(orders!$D680,products!$A$1:$A$49,0),MATCH(orders!L$1,products!$A$1:$G$1,0))</f>
        <v>29.784999999999997</v>
      </c>
      <c r="M680" s="9">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_xlfn.XLOOKUP(orders!C681,customers!$A$1:$A$1001,customers!$G$1:$G$1001,,0)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8">
        <f>INDEX(products!$A$1:$G$49,MATCH(orders!$D681,products!$A$1:$A$49,0),MATCH(orders!L$1,products!$A$1:$G$1,0))</f>
        <v>27.484999999999996</v>
      </c>
      <c r="M681" s="9">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_xlfn.XLOOKUP(orders!C682,customers!$A$1:$A$1001,customers!$G$1:$G$1001,,0)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8">
        <f>INDEX(products!$A$1:$G$49,MATCH(orders!$D682,products!$A$1:$A$49,0),MATCH(orders!L$1,products!$A$1:$G$1,0))</f>
        <v>11.25</v>
      </c>
      <c r="M682" s="9">
        <f t="shared" si="30"/>
        <v>56.25</v>
      </c>
      <c r="N682" t="str">
        <f t="shared" si="31"/>
        <v>Arabica</v>
      </c>
      <c r="O682" t="str">
        <f t="shared" si="32"/>
        <v>Mediium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_xlfn.XLOOKUP(orders!C683,customers!$A$1:$A$1001,customers!$G$1:$G$1001,,0)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8">
        <f>INDEX(products!$A$1:$G$49,MATCH(orders!$D683,products!$A$1:$A$49,0),MATCH(orders!L$1,products!$A$1:$G$1,0))</f>
        <v>4.7549999999999999</v>
      </c>
      <c r="M683" s="9">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_xlfn.XLOOKUP(orders!C684,customers!$A$1:$A$1001,customers!$G$1:$G$1001,,0)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8">
        <f>INDEX(products!$A$1:$G$49,MATCH(orders!$D684,products!$A$1:$A$49,0),MATCH(orders!L$1,products!$A$1:$G$1,0))</f>
        <v>4.125</v>
      </c>
      <c r="M684" s="9">
        <f t="shared" si="30"/>
        <v>8.25</v>
      </c>
      <c r="N684" t="str">
        <f t="shared" si="31"/>
        <v>Excelsa</v>
      </c>
      <c r="O684" t="str">
        <f t="shared" si="32"/>
        <v>Mediium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_xlfn.XLOOKUP(orders!C685,customers!$A$1:$A$1001,customers!$G$1:$G$1001,,0)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8">
        <f>INDEX(products!$A$1:$G$49,MATCH(orders!$D685,products!$A$1:$A$49,0),MATCH(orders!L$1,products!$A$1:$G$1,0))</f>
        <v>7.77</v>
      </c>
      <c r="M685" s="9">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_xlfn.XLOOKUP(orders!C686,customers!$A$1:$A$1001,customers!$G$1:$G$1001,,0)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8">
        <f>INDEX(products!$A$1:$G$49,MATCH(orders!$D686,products!$A$1:$A$49,0),MATCH(orders!L$1,products!$A$1:$G$1,0))</f>
        <v>11.95</v>
      </c>
      <c r="M686" s="9">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_xlfn.XLOOKUP(orders!C687,customers!$A$1:$A$1001,customers!$G$1:$G$1001,,0)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8">
        <f>INDEX(products!$A$1:$G$49,MATCH(orders!$D687,products!$A$1:$A$49,0),MATCH(orders!L$1,products!$A$1:$G$1,0))</f>
        <v>36.454999999999998</v>
      </c>
      <c r="M687" s="9">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_xlfn.XLOOKUP(orders!C688,customers!$A$1:$A$1001,customers!$G$1:$G$1001,,0)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8">
        <f>INDEX(products!$A$1:$G$49,MATCH(orders!$D688,products!$A$1:$A$49,0),MATCH(orders!L$1,products!$A$1:$G$1,0))</f>
        <v>2.6849999999999996</v>
      </c>
      <c r="M688" s="9">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_xlfn.XLOOKUP(orders!C689,customers!$A$1:$A$1001,customers!$G$1:$G$1001,,0)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8">
        <f>INDEX(products!$A$1:$G$49,MATCH(orders!$D689,products!$A$1:$A$49,0),MATCH(orders!L$1,products!$A$1:$G$1,0))</f>
        <v>8.25</v>
      </c>
      <c r="M689" s="9">
        <f t="shared" si="30"/>
        <v>16.5</v>
      </c>
      <c r="N689" t="str">
        <f t="shared" si="31"/>
        <v>Excelsa</v>
      </c>
      <c r="O689" t="str">
        <f t="shared" si="32"/>
        <v>Mediium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_xlfn.XLOOKUP(orders!C690,customers!$A$1:$A$1001,customers!$G$1:$G$1001,,0)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8">
        <f>INDEX(products!$A$1:$G$49,MATCH(orders!$D690,products!$A$1:$A$49,0),MATCH(orders!L$1,products!$A$1:$G$1,0))</f>
        <v>12.95</v>
      </c>
      <c r="M690" s="9">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_xlfn.XLOOKUP(orders!C691,customers!$A$1:$A$1001,customers!$G$1:$G$1001,,0)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8">
        <f>INDEX(products!$A$1:$G$49,MATCH(orders!$D691,products!$A$1:$A$49,0),MATCH(orders!L$1,products!$A$1:$G$1,0))</f>
        <v>6.75</v>
      </c>
      <c r="M691" s="9">
        <f t="shared" si="30"/>
        <v>33.75</v>
      </c>
      <c r="N691" t="str">
        <f t="shared" si="31"/>
        <v>Arabica</v>
      </c>
      <c r="O691" t="str">
        <f t="shared" si="32"/>
        <v>Mediium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_xlfn.XLOOKUP(orders!C692,customers!$A$1:$A$1001,customers!$G$1:$G$1001,,0)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8">
        <f>INDEX(products!$A$1:$G$49,MATCH(orders!$D692,products!$A$1:$A$49,0),MATCH(orders!L$1,products!$A$1:$G$1,0))</f>
        <v>29.784999999999997</v>
      </c>
      <c r="M692" s="9">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_xlfn.XLOOKUP(orders!C693,customers!$A$1:$A$1001,customers!$G$1:$G$1001,,0)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8">
        <f>INDEX(products!$A$1:$G$49,MATCH(orders!$D693,products!$A$1:$A$49,0),MATCH(orders!L$1,products!$A$1:$G$1,0))</f>
        <v>11.25</v>
      </c>
      <c r="M693" s="9">
        <f t="shared" si="30"/>
        <v>22.5</v>
      </c>
      <c r="N693" t="str">
        <f t="shared" si="31"/>
        <v>Arabica</v>
      </c>
      <c r="O693" t="str">
        <f t="shared" si="32"/>
        <v>Mediium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_xlfn.XLOOKUP(orders!C694,customers!$A$1:$A$1001,customers!$G$1:$G$1001,,0)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8">
        <f>INDEX(products!$A$1:$G$49,MATCH(orders!$D694,products!$A$1:$A$49,0),MATCH(orders!L$1,products!$A$1:$G$1,0))</f>
        <v>12.95</v>
      </c>
      <c r="M694" s="9">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_xlfn.XLOOKUP(orders!C695,customers!$A$1:$A$1001,customers!$G$1:$G$1001,,0)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8">
        <f>INDEX(products!$A$1:$G$49,MATCH(orders!$D695,products!$A$1:$A$49,0),MATCH(orders!L$1,products!$A$1:$G$1,0))</f>
        <v>25.874999999999996</v>
      </c>
      <c r="M695" s="9">
        <f t="shared" si="30"/>
        <v>51.749999999999993</v>
      </c>
      <c r="N695" t="str">
        <f t="shared" si="31"/>
        <v>Arabica</v>
      </c>
      <c r="O695" t="str">
        <f t="shared" si="32"/>
        <v>Mediium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_xlfn.XLOOKUP(orders!C696,customers!$A$1:$A$1001,customers!$G$1:$G$1001,,0)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8">
        <f>INDEX(products!$A$1:$G$49,MATCH(orders!$D696,products!$A$1:$A$49,0),MATCH(orders!L$1,products!$A$1:$G$1,0))</f>
        <v>7.29</v>
      </c>
      <c r="M696" s="9">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_xlfn.XLOOKUP(orders!C697,customers!$A$1:$A$1001,customers!$G$1:$G$1001,,0)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8">
        <f>INDEX(products!$A$1:$G$49,MATCH(orders!$D697,products!$A$1:$A$49,0),MATCH(orders!L$1,products!$A$1:$G$1,0))</f>
        <v>36.454999999999998</v>
      </c>
      <c r="M697" s="9">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_xlfn.XLOOKUP(orders!C698,customers!$A$1:$A$1001,customers!$G$1:$G$1001,,0)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8">
        <f>INDEX(products!$A$1:$G$49,MATCH(orders!$D698,products!$A$1:$A$49,0),MATCH(orders!L$1,products!$A$1:$G$1,0))</f>
        <v>7.77</v>
      </c>
      <c r="M698" s="9">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_xlfn.XLOOKUP(orders!C699,customers!$A$1:$A$1001,customers!$G$1:$G$1001,,0)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8">
        <f>INDEX(products!$A$1:$G$49,MATCH(orders!$D699,products!$A$1:$A$49,0),MATCH(orders!L$1,products!$A$1:$G$1,0))</f>
        <v>6.75</v>
      </c>
      <c r="M699" s="9">
        <f t="shared" si="30"/>
        <v>20.25</v>
      </c>
      <c r="N699" t="str">
        <f t="shared" si="31"/>
        <v>Arabica</v>
      </c>
      <c r="O699" t="str">
        <f t="shared" si="32"/>
        <v>Mediium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_xlfn.XLOOKUP(orders!C700,customers!$A$1:$A$1001,customers!$G$1:$G$1001,,0)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8">
        <f>INDEX(products!$A$1:$G$49,MATCH(orders!$D700,products!$A$1:$A$49,0),MATCH(orders!L$1,products!$A$1:$G$1,0))</f>
        <v>12.95</v>
      </c>
      <c r="M700" s="9">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_xlfn.XLOOKUP(orders!C701,customers!$A$1:$A$1001,customers!$G$1:$G$1001,,0)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8">
        <f>INDEX(products!$A$1:$G$49,MATCH(orders!$D701,products!$A$1:$A$49,0),MATCH(orders!L$1,products!$A$1:$G$1,0))</f>
        <v>5.97</v>
      </c>
      <c r="M701" s="9">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_xlfn.XLOOKUP(orders!C702,customers!$A$1:$A$1001,customers!$G$1:$G$1001,,0)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8">
        <f>INDEX(products!$A$1:$G$49,MATCH(orders!$D702,products!$A$1:$A$49,0),MATCH(orders!L$1,products!$A$1:$G$1,0))</f>
        <v>9.51</v>
      </c>
      <c r="M702" s="9">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_xlfn.XLOOKUP(orders!C703,customers!$A$1:$A$1001,customers!$G$1:$G$1001,,0)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8">
        <f>INDEX(products!$A$1:$G$49,MATCH(orders!$D703,products!$A$1:$A$49,0),MATCH(orders!L$1,products!$A$1:$G$1,0))</f>
        <v>5.97</v>
      </c>
      <c r="M703" s="9">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_xlfn.XLOOKUP(orders!C704,customers!$A$1:$A$1001,customers!$G$1:$G$1001,,0)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8">
        <f>INDEX(products!$A$1:$G$49,MATCH(orders!$D704,products!$A$1:$A$49,0),MATCH(orders!L$1,products!$A$1:$G$1,0))</f>
        <v>7.77</v>
      </c>
      <c r="M704" s="9">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_xlfn.XLOOKUP(orders!C705,customers!$A$1:$A$1001,customers!$G$1:$G$1001,,0)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8">
        <f>INDEX(products!$A$1:$G$49,MATCH(orders!$D705,products!$A$1:$A$49,0),MATCH(orders!L$1,products!$A$1:$G$1,0))</f>
        <v>29.784999999999997</v>
      </c>
      <c r="M705" s="9">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_xlfn.XLOOKUP(orders!C706,customers!$A$1:$A$1001,customers!$G$1:$G$1001,,0)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8">
        <f>INDEX(products!$A$1:$G$49,MATCH(orders!$D706,products!$A$1:$A$49,0),MATCH(orders!L$1,products!$A$1:$G$1,0))</f>
        <v>3.645</v>
      </c>
      <c r="M706" s="9">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_xlfn.XLOOKUP(orders!C707,customers!$A$1:$A$1001,customers!$G$1:$G$1001,,0)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8">
        <f>INDEX(products!$A$1:$G$49,MATCH(orders!$D707,products!$A$1:$A$49,0),MATCH(orders!L$1,products!$A$1:$G$1,0))</f>
        <v>8.91</v>
      </c>
      <c r="M707" s="9">
        <f t="shared" ref="M707:M770" si="33">L707*E707</f>
        <v>17.82</v>
      </c>
      <c r="N707" t="str">
        <f t="shared" ref="N707:N770" si="34">IF(I707="Rob","Robusta",IF(I707="exc","Excelsa",IF(I707="ara","Arabica",IF(I707="Lib","Liberica",""))))</f>
        <v>Excelsa</v>
      </c>
      <c r="O707" t="str">
        <f t="shared" ref="O707:O770" si="35">IF(J707="m","Mediium",IF(J707="l","Light",IF(J707="d","Dark","")))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_xlfn.XLOOKUP(orders!C708,customers!$A$1:$A$1001,customers!$G$1:$G$1001,,0)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8">
        <f>INDEX(products!$A$1:$G$49,MATCH(orders!$D708,products!$A$1:$A$49,0),MATCH(orders!L$1,products!$A$1:$G$1,0))</f>
        <v>4.125</v>
      </c>
      <c r="M708" s="9">
        <f t="shared" si="33"/>
        <v>12.375</v>
      </c>
      <c r="N708" t="str">
        <f t="shared" si="34"/>
        <v>Excelsa</v>
      </c>
      <c r="O708" t="str">
        <f t="shared" si="35"/>
        <v>Mediium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_xlfn.XLOOKUP(orders!C709,customers!$A$1:$A$1001,customers!$G$1:$G$1001,,0)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8">
        <f>INDEX(products!$A$1:$G$49,MATCH(orders!$D709,products!$A$1:$A$49,0),MATCH(orders!L$1,products!$A$1:$G$1,0))</f>
        <v>12.95</v>
      </c>
      <c r="M709" s="9">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_xlfn.XLOOKUP(orders!C710,customers!$A$1:$A$1001,customers!$G$1:$G$1001,,0)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8">
        <f>INDEX(products!$A$1:$G$49,MATCH(orders!$D710,products!$A$1:$A$49,0),MATCH(orders!L$1,products!$A$1:$G$1,0))</f>
        <v>6.75</v>
      </c>
      <c r="M710" s="9">
        <f t="shared" si="33"/>
        <v>13.5</v>
      </c>
      <c r="N710" t="str">
        <f t="shared" si="34"/>
        <v>Arabica</v>
      </c>
      <c r="O710" t="str">
        <f t="shared" si="35"/>
        <v>Mediium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_xlfn.XLOOKUP(orders!C711,customers!$A$1:$A$1001,customers!$G$1:$G$1001,,0)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8">
        <f>INDEX(products!$A$1:$G$49,MATCH(orders!$D711,products!$A$1:$A$49,0),MATCH(orders!L$1,products!$A$1:$G$1,0))</f>
        <v>8.91</v>
      </c>
      <c r="M711" s="9">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_xlfn.XLOOKUP(orders!C712,customers!$A$1:$A$1001,customers!$G$1:$G$1001,,0)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8">
        <f>INDEX(products!$A$1:$G$49,MATCH(orders!$D712,products!$A$1:$A$49,0),MATCH(orders!L$1,products!$A$1:$G$1,0))</f>
        <v>8.25</v>
      </c>
      <c r="M712" s="9">
        <f t="shared" si="33"/>
        <v>24.75</v>
      </c>
      <c r="N712" t="str">
        <f t="shared" si="34"/>
        <v>Excelsa</v>
      </c>
      <c r="O712" t="str">
        <f t="shared" si="35"/>
        <v>Mediium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_xlfn.XLOOKUP(orders!C713,customers!$A$1:$A$1001,customers!$G$1:$G$1001,,0)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8">
        <f>INDEX(products!$A$1:$G$49,MATCH(orders!$D713,products!$A$1:$A$49,0),MATCH(orders!L$1,products!$A$1:$G$1,0))</f>
        <v>2.9849999999999999</v>
      </c>
      <c r="M713" s="9">
        <f t="shared" si="33"/>
        <v>17.91</v>
      </c>
      <c r="N713" t="str">
        <f t="shared" si="34"/>
        <v>Robusta</v>
      </c>
      <c r="O713" t="str">
        <f t="shared" si="35"/>
        <v>Mediium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_xlfn.XLOOKUP(orders!C714,customers!$A$1:$A$1001,customers!$G$1:$G$1001,,0)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8">
        <f>INDEX(products!$A$1:$G$49,MATCH(orders!$D714,products!$A$1:$A$49,0),MATCH(orders!L$1,products!$A$1:$G$1,0))</f>
        <v>8.25</v>
      </c>
      <c r="M714" s="9">
        <f t="shared" si="33"/>
        <v>16.5</v>
      </c>
      <c r="N714" t="str">
        <f t="shared" si="34"/>
        <v>Excelsa</v>
      </c>
      <c r="O714" t="str">
        <f t="shared" si="35"/>
        <v>Mediium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_xlfn.XLOOKUP(orders!C715,customers!$A$1:$A$1001,customers!$G$1:$G$1001,,0)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8">
        <f>INDEX(products!$A$1:$G$49,MATCH(orders!$D715,products!$A$1:$A$49,0),MATCH(orders!L$1,products!$A$1:$G$1,0))</f>
        <v>2.9849999999999999</v>
      </c>
      <c r="M715" s="9">
        <f t="shared" si="33"/>
        <v>2.9849999999999999</v>
      </c>
      <c r="N715" t="str">
        <f t="shared" si="34"/>
        <v>Robusta</v>
      </c>
      <c r="O715" t="str">
        <f t="shared" si="35"/>
        <v>Mediium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_xlfn.XLOOKUP(orders!C716,customers!$A$1:$A$1001,customers!$G$1:$G$1001,,0)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8">
        <f>INDEX(products!$A$1:$G$49,MATCH(orders!$D716,products!$A$1:$A$49,0),MATCH(orders!L$1,products!$A$1:$G$1,0))</f>
        <v>3.645</v>
      </c>
      <c r="M716" s="9">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_xlfn.XLOOKUP(orders!C717,customers!$A$1:$A$1001,customers!$G$1:$G$1001,,0)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8">
        <f>INDEX(products!$A$1:$G$49,MATCH(orders!$D717,products!$A$1:$A$49,0),MATCH(orders!L$1,products!$A$1:$G$1,0))</f>
        <v>14.85</v>
      </c>
      <c r="M717" s="9">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_xlfn.XLOOKUP(orders!C718,customers!$A$1:$A$1001,customers!$G$1:$G$1001,,0)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8">
        <f>INDEX(products!$A$1:$G$49,MATCH(orders!$D718,products!$A$1:$A$49,0),MATCH(orders!L$1,products!$A$1:$G$1,0))</f>
        <v>11.95</v>
      </c>
      <c r="M718" s="9">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_xlfn.XLOOKUP(orders!C719,customers!$A$1:$A$1001,customers!$G$1:$G$1001,,0)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8">
        <f>INDEX(products!$A$1:$G$49,MATCH(orders!$D719,products!$A$1:$A$49,0),MATCH(orders!L$1,products!$A$1:$G$1,0))</f>
        <v>22.884999999999998</v>
      </c>
      <c r="M719" s="9">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_xlfn.XLOOKUP(orders!C720,customers!$A$1:$A$1001,customers!$G$1:$G$1001,,0)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8">
        <f>INDEX(products!$A$1:$G$49,MATCH(orders!$D720,products!$A$1:$A$49,0),MATCH(orders!L$1,products!$A$1:$G$1,0))</f>
        <v>12.95</v>
      </c>
      <c r="M720" s="9">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_xlfn.XLOOKUP(orders!C721,customers!$A$1:$A$1001,customers!$G$1:$G$1001,,0)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8">
        <f>INDEX(products!$A$1:$G$49,MATCH(orders!$D721,products!$A$1:$A$49,0),MATCH(orders!L$1,products!$A$1:$G$1,0))</f>
        <v>15.85</v>
      </c>
      <c r="M721" s="9">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_xlfn.XLOOKUP(orders!C722,customers!$A$1:$A$1001,customers!$G$1:$G$1001,,0)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8">
        <f>INDEX(products!$A$1:$G$49,MATCH(orders!$D722,products!$A$1:$A$49,0),MATCH(orders!L$1,products!$A$1:$G$1,0))</f>
        <v>7.29</v>
      </c>
      <c r="M722" s="9">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_xlfn.XLOOKUP(orders!C723,customers!$A$1:$A$1001,customers!$G$1:$G$1001,,0)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8">
        <f>INDEX(products!$A$1:$G$49,MATCH(orders!$D723,products!$A$1:$A$49,0),MATCH(orders!L$1,products!$A$1:$G$1,0))</f>
        <v>2.9849999999999999</v>
      </c>
      <c r="M723" s="9">
        <f t="shared" si="33"/>
        <v>8.9550000000000001</v>
      </c>
      <c r="N723" t="str">
        <f t="shared" si="34"/>
        <v>Robusta</v>
      </c>
      <c r="O723" t="str">
        <f t="shared" si="35"/>
        <v>Mediium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_xlfn.XLOOKUP(orders!C724,customers!$A$1:$A$1001,customers!$G$1:$G$1001,,0)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8">
        <f>INDEX(products!$A$1:$G$49,MATCH(orders!$D724,products!$A$1:$A$49,0),MATCH(orders!L$1,products!$A$1:$G$1,0))</f>
        <v>12.15</v>
      </c>
      <c r="M724" s="9">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_xlfn.XLOOKUP(orders!C725,customers!$A$1:$A$1001,customers!$G$1:$G$1001,,0)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8">
        <f>INDEX(products!$A$1:$G$49,MATCH(orders!$D725,products!$A$1:$A$49,0),MATCH(orders!L$1,products!$A$1:$G$1,0))</f>
        <v>31.624999999999996</v>
      </c>
      <c r="M725" s="9">
        <f t="shared" si="33"/>
        <v>63.249999999999993</v>
      </c>
      <c r="N725" t="str">
        <f t="shared" si="34"/>
        <v>Excelsa</v>
      </c>
      <c r="O725" t="str">
        <f t="shared" si="35"/>
        <v>Mediium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_xlfn.XLOOKUP(orders!C726,customers!$A$1:$A$1001,customers!$G$1:$G$1001,,0)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8">
        <f>INDEX(products!$A$1:$G$49,MATCH(orders!$D726,products!$A$1:$A$49,0),MATCH(orders!L$1,products!$A$1:$G$1,0))</f>
        <v>3.375</v>
      </c>
      <c r="M726" s="9">
        <f t="shared" si="33"/>
        <v>6.75</v>
      </c>
      <c r="N726" t="str">
        <f t="shared" si="34"/>
        <v>Arabica</v>
      </c>
      <c r="O726" t="str">
        <f t="shared" si="35"/>
        <v>Mediium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_xlfn.XLOOKUP(orders!C727,customers!$A$1:$A$1001,customers!$G$1:$G$1001,,0)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8">
        <f>INDEX(products!$A$1:$G$49,MATCH(orders!$D727,products!$A$1:$A$49,0),MATCH(orders!L$1,products!$A$1:$G$1,0))</f>
        <v>3.8849999999999998</v>
      </c>
      <c r="M727" s="9">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_xlfn.XLOOKUP(orders!C728,customers!$A$1:$A$1001,customers!$G$1:$G$1001,,0)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8">
        <f>INDEX(products!$A$1:$G$49,MATCH(orders!$D728,products!$A$1:$A$49,0),MATCH(orders!L$1,products!$A$1:$G$1,0))</f>
        <v>36.454999999999998</v>
      </c>
      <c r="M728" s="9">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_xlfn.XLOOKUP(orders!C729,customers!$A$1:$A$1001,customers!$G$1:$G$1001,,0)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8">
        <f>INDEX(products!$A$1:$G$49,MATCH(orders!$D729,products!$A$1:$A$49,0),MATCH(orders!L$1,products!$A$1:$G$1,0))</f>
        <v>5.97</v>
      </c>
      <c r="M729" s="9">
        <f t="shared" si="33"/>
        <v>29.849999999999998</v>
      </c>
      <c r="N729" t="str">
        <f t="shared" si="34"/>
        <v>Robusta</v>
      </c>
      <c r="O729" t="str">
        <f t="shared" si="35"/>
        <v>Mediium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_xlfn.XLOOKUP(orders!C730,customers!$A$1:$A$1001,customers!$G$1:$G$1001,,0)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8">
        <f>INDEX(products!$A$1:$G$49,MATCH(orders!$D730,products!$A$1:$A$49,0),MATCH(orders!L$1,products!$A$1:$G$1,0))</f>
        <v>7.29</v>
      </c>
      <c r="M730" s="9">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_xlfn.XLOOKUP(orders!C731,customers!$A$1:$A$1001,customers!$G$1:$G$1001,,0)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8">
        <f>INDEX(products!$A$1:$G$49,MATCH(orders!$D731,products!$A$1:$A$49,0),MATCH(orders!L$1,products!$A$1:$G$1,0))</f>
        <v>4.3650000000000002</v>
      </c>
      <c r="M731" s="9">
        <f t="shared" si="33"/>
        <v>4.3650000000000002</v>
      </c>
      <c r="N731" t="str">
        <f t="shared" si="34"/>
        <v>Liberica</v>
      </c>
      <c r="O731" t="str">
        <f t="shared" si="35"/>
        <v>Mediium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_xlfn.XLOOKUP(orders!C732,customers!$A$1:$A$1001,customers!$G$1:$G$1001,,0)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8">
        <f>INDEX(products!$A$1:$G$49,MATCH(orders!$D732,products!$A$1:$A$49,0),MATCH(orders!L$1,products!$A$1:$G$1,0))</f>
        <v>36.454999999999998</v>
      </c>
      <c r="M732" s="9">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_xlfn.XLOOKUP(orders!C733,customers!$A$1:$A$1001,customers!$G$1:$G$1001,,0)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8">
        <f>INDEX(products!$A$1:$G$49,MATCH(orders!$D733,products!$A$1:$A$49,0),MATCH(orders!L$1,products!$A$1:$G$1,0))</f>
        <v>3.8849999999999998</v>
      </c>
      <c r="M733" s="9">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_xlfn.XLOOKUP(orders!C734,customers!$A$1:$A$1001,customers!$G$1:$G$1001,,0)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8">
        <f>INDEX(products!$A$1:$G$49,MATCH(orders!$D734,products!$A$1:$A$49,0),MATCH(orders!L$1,products!$A$1:$G$1,0))</f>
        <v>4.4550000000000001</v>
      </c>
      <c r="M734" s="9">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_xlfn.XLOOKUP(orders!C735,customers!$A$1:$A$1001,customers!$G$1:$G$1001,,0)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8">
        <f>INDEX(products!$A$1:$G$49,MATCH(orders!$D735,products!$A$1:$A$49,0),MATCH(orders!L$1,products!$A$1:$G$1,0))</f>
        <v>33.464999999999996</v>
      </c>
      <c r="M735" s="9">
        <f t="shared" si="33"/>
        <v>100.39499999999998</v>
      </c>
      <c r="N735" t="str">
        <f t="shared" si="34"/>
        <v>Liberica</v>
      </c>
      <c r="O735" t="str">
        <f t="shared" si="35"/>
        <v>Mediium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_xlfn.XLOOKUP(orders!C736,customers!$A$1:$A$1001,customers!$G$1:$G$1001,,0)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8">
        <f>INDEX(products!$A$1:$G$49,MATCH(orders!$D736,products!$A$1:$A$49,0),MATCH(orders!L$1,products!$A$1:$G$1,0))</f>
        <v>2.6849999999999996</v>
      </c>
      <c r="M736" s="9">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_xlfn.XLOOKUP(orders!C737,customers!$A$1:$A$1001,customers!$G$1:$G$1001,,0)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8">
        <f>INDEX(products!$A$1:$G$49,MATCH(orders!$D737,products!$A$1:$A$49,0),MATCH(orders!L$1,products!$A$1:$G$1,0))</f>
        <v>3.645</v>
      </c>
      <c r="M737" s="9">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_xlfn.XLOOKUP(orders!C738,customers!$A$1:$A$1001,customers!$G$1:$G$1001,,0)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8">
        <f>INDEX(products!$A$1:$G$49,MATCH(orders!$D738,products!$A$1:$A$49,0),MATCH(orders!L$1,products!$A$1:$G$1,0))</f>
        <v>12.95</v>
      </c>
      <c r="M738" s="9">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_xlfn.XLOOKUP(orders!C739,customers!$A$1:$A$1001,customers!$G$1:$G$1001,,0)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8">
        <f>INDEX(products!$A$1:$G$49,MATCH(orders!$D739,products!$A$1:$A$49,0),MATCH(orders!L$1,products!$A$1:$G$1,0))</f>
        <v>11.25</v>
      </c>
      <c r="M739" s="9">
        <f t="shared" si="33"/>
        <v>56.25</v>
      </c>
      <c r="N739" t="str">
        <f t="shared" si="34"/>
        <v>Arabica</v>
      </c>
      <c r="O739" t="str">
        <f t="shared" si="35"/>
        <v>Mediium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_xlfn.XLOOKUP(orders!C740,customers!$A$1:$A$1001,customers!$G$1:$G$1001,,0)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8">
        <f>INDEX(products!$A$1:$G$49,MATCH(orders!$D740,products!$A$1:$A$49,0),MATCH(orders!L$1,products!$A$1:$G$1,0))</f>
        <v>3.5849999999999995</v>
      </c>
      <c r="M740" s="9">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_xlfn.XLOOKUP(orders!C741,customers!$A$1:$A$1001,customers!$G$1:$G$1001,,0)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8">
        <f>INDEX(products!$A$1:$G$49,MATCH(orders!$D741,products!$A$1:$A$49,0),MATCH(orders!L$1,products!$A$1:$G$1,0))</f>
        <v>3.645</v>
      </c>
      <c r="M741" s="9">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_xlfn.XLOOKUP(orders!C742,customers!$A$1:$A$1001,customers!$G$1:$G$1001,,0)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8">
        <f>INDEX(products!$A$1:$G$49,MATCH(orders!$D742,products!$A$1:$A$49,0),MATCH(orders!L$1,products!$A$1:$G$1,0))</f>
        <v>7.169999999999999</v>
      </c>
      <c r="M742" s="9">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_xlfn.XLOOKUP(orders!C743,customers!$A$1:$A$1001,customers!$G$1:$G$1001,,0)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8">
        <f>INDEX(products!$A$1:$G$49,MATCH(orders!$D743,products!$A$1:$A$49,0),MATCH(orders!L$1,products!$A$1:$G$1,0))</f>
        <v>4.3650000000000002</v>
      </c>
      <c r="M743" s="9">
        <f t="shared" si="33"/>
        <v>8.73</v>
      </c>
      <c r="N743" t="str">
        <f t="shared" si="34"/>
        <v>Liberica</v>
      </c>
      <c r="O743" t="str">
        <f t="shared" si="35"/>
        <v>Mediium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_xlfn.XLOOKUP(orders!C744,customers!$A$1:$A$1001,customers!$G$1:$G$1001,,0)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8">
        <f>INDEX(products!$A$1:$G$49,MATCH(orders!$D744,products!$A$1:$A$49,0),MATCH(orders!L$1,products!$A$1:$G$1,0))</f>
        <v>14.55</v>
      </c>
      <c r="M744" s="9">
        <f t="shared" si="33"/>
        <v>58.2</v>
      </c>
      <c r="N744" t="str">
        <f t="shared" si="34"/>
        <v>Liberica</v>
      </c>
      <c r="O744" t="str">
        <f t="shared" si="35"/>
        <v>Mediium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_xlfn.XLOOKUP(orders!C745,customers!$A$1:$A$1001,customers!$G$1:$G$1001,,0)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8">
        <f>INDEX(products!$A$1:$G$49,MATCH(orders!$D745,products!$A$1:$A$49,0),MATCH(orders!L$1,products!$A$1:$G$1,0))</f>
        <v>5.97</v>
      </c>
      <c r="M745" s="9">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_xlfn.XLOOKUP(orders!C746,customers!$A$1:$A$1001,customers!$G$1:$G$1001,,0)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8">
        <f>INDEX(products!$A$1:$G$49,MATCH(orders!$D746,products!$A$1:$A$49,0),MATCH(orders!L$1,products!$A$1:$G$1,0))</f>
        <v>2.9849999999999999</v>
      </c>
      <c r="M746" s="9">
        <f t="shared" si="33"/>
        <v>17.91</v>
      </c>
      <c r="N746" t="str">
        <f t="shared" si="34"/>
        <v>Robusta</v>
      </c>
      <c r="O746" t="str">
        <f t="shared" si="35"/>
        <v>Mediium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_xlfn.XLOOKUP(orders!C747,customers!$A$1:$A$1001,customers!$G$1:$G$1001,,0)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8">
        <f>INDEX(products!$A$1:$G$49,MATCH(orders!$D747,products!$A$1:$A$49,0),MATCH(orders!L$1,products!$A$1:$G$1,0))</f>
        <v>7.29</v>
      </c>
      <c r="M747" s="9">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_xlfn.XLOOKUP(orders!C748,customers!$A$1:$A$1001,customers!$G$1:$G$1001,,0)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8">
        <f>INDEX(products!$A$1:$G$49,MATCH(orders!$D748,products!$A$1:$A$49,0),MATCH(orders!L$1,products!$A$1:$G$1,0))</f>
        <v>11.25</v>
      </c>
      <c r="M748" s="9">
        <f t="shared" si="33"/>
        <v>33.75</v>
      </c>
      <c r="N748" t="str">
        <f t="shared" si="34"/>
        <v>Arabica</v>
      </c>
      <c r="O748" t="str">
        <f t="shared" si="35"/>
        <v>Mediium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_xlfn.XLOOKUP(orders!C749,customers!$A$1:$A$1001,customers!$G$1:$G$1001,,0)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8">
        <f>INDEX(products!$A$1:$G$49,MATCH(orders!$D749,products!$A$1:$A$49,0),MATCH(orders!L$1,products!$A$1:$G$1,0))</f>
        <v>8.73</v>
      </c>
      <c r="M749" s="9">
        <f t="shared" si="33"/>
        <v>34.92</v>
      </c>
      <c r="N749" t="str">
        <f t="shared" si="34"/>
        <v>Liberica</v>
      </c>
      <c r="O749" t="str">
        <f t="shared" si="35"/>
        <v>Mediium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_xlfn.XLOOKUP(orders!C750,customers!$A$1:$A$1001,customers!$G$1:$G$1001,,0)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8">
        <f>INDEX(products!$A$1:$G$49,MATCH(orders!$D750,products!$A$1:$A$49,0),MATCH(orders!L$1,products!$A$1:$G$1,0))</f>
        <v>7.29</v>
      </c>
      <c r="M750" s="9">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_xlfn.XLOOKUP(orders!C751,customers!$A$1:$A$1001,customers!$G$1:$G$1001,,0)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8">
        <f>INDEX(products!$A$1:$G$49,MATCH(orders!$D751,products!$A$1:$A$49,0),MATCH(orders!L$1,products!$A$1:$G$1,0))</f>
        <v>2.6849999999999996</v>
      </c>
      <c r="M751" s="9">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_xlfn.XLOOKUP(orders!C752,customers!$A$1:$A$1001,customers!$G$1:$G$1001,,0)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8">
        <f>INDEX(products!$A$1:$G$49,MATCH(orders!$D752,products!$A$1:$A$49,0),MATCH(orders!L$1,products!$A$1:$G$1,0))</f>
        <v>5.97</v>
      </c>
      <c r="M752" s="9">
        <f t="shared" si="33"/>
        <v>5.97</v>
      </c>
      <c r="N752" t="str">
        <f t="shared" si="34"/>
        <v>Robusta</v>
      </c>
      <c r="O752" t="str">
        <f t="shared" si="35"/>
        <v>Mediium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_xlfn.XLOOKUP(orders!C753,customers!$A$1:$A$1001,customers!$G$1:$G$1001,,0)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8">
        <f>INDEX(products!$A$1:$G$49,MATCH(orders!$D753,products!$A$1:$A$49,0),MATCH(orders!L$1,products!$A$1:$G$1,0))</f>
        <v>9.51</v>
      </c>
      <c r="M753" s="9">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_xlfn.XLOOKUP(orders!C754,customers!$A$1:$A$1001,customers!$G$1:$G$1001,,0)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8">
        <f>INDEX(products!$A$1:$G$49,MATCH(orders!$D754,products!$A$1:$A$49,0),MATCH(orders!L$1,products!$A$1:$G$1,0))</f>
        <v>13.75</v>
      </c>
      <c r="M754" s="9">
        <f t="shared" si="33"/>
        <v>27.5</v>
      </c>
      <c r="N754" t="str">
        <f t="shared" si="34"/>
        <v>Excelsa</v>
      </c>
      <c r="O754" t="str">
        <f t="shared" si="35"/>
        <v>Mediium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_xlfn.XLOOKUP(orders!C755,customers!$A$1:$A$1001,customers!$G$1:$G$1001,,0)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8">
        <f>INDEX(products!$A$1:$G$49,MATCH(orders!$D755,products!$A$1:$A$49,0),MATCH(orders!L$1,products!$A$1:$G$1,0))</f>
        <v>5.97</v>
      </c>
      <c r="M755" s="9">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_xlfn.XLOOKUP(orders!C756,customers!$A$1:$A$1001,customers!$G$1:$G$1001,,0)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8">
        <f>INDEX(products!$A$1:$G$49,MATCH(orders!$D756,products!$A$1:$A$49,0),MATCH(orders!L$1,products!$A$1:$G$1,0))</f>
        <v>2.9849999999999999</v>
      </c>
      <c r="M756" s="9">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_xlfn.XLOOKUP(orders!C757,customers!$A$1:$A$1001,customers!$G$1:$G$1001,,0)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8">
        <f>INDEX(products!$A$1:$G$49,MATCH(orders!$D757,products!$A$1:$A$49,0),MATCH(orders!L$1,products!$A$1:$G$1,0))</f>
        <v>4.7549999999999999</v>
      </c>
      <c r="M757" s="9">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_xlfn.XLOOKUP(orders!C758,customers!$A$1:$A$1001,customers!$G$1:$G$1001,,0)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8">
        <f>INDEX(products!$A$1:$G$49,MATCH(orders!$D758,products!$A$1:$A$49,0),MATCH(orders!L$1,products!$A$1:$G$1,0))</f>
        <v>8.9499999999999993</v>
      </c>
      <c r="M758" s="9">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_xlfn.XLOOKUP(orders!C759,customers!$A$1:$A$1001,customers!$G$1:$G$1001,,0)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8">
        <f>INDEX(products!$A$1:$G$49,MATCH(orders!$D759,products!$A$1:$A$49,0),MATCH(orders!L$1,products!$A$1:$G$1,0))</f>
        <v>5.97</v>
      </c>
      <c r="M759" s="9">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_xlfn.XLOOKUP(orders!C760,customers!$A$1:$A$1001,customers!$G$1:$G$1001,,0)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8">
        <f>INDEX(products!$A$1:$G$49,MATCH(orders!$D760,products!$A$1:$A$49,0),MATCH(orders!L$1,products!$A$1:$G$1,0))</f>
        <v>8.9499999999999993</v>
      </c>
      <c r="M760" s="9">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_xlfn.XLOOKUP(orders!C761,customers!$A$1:$A$1001,customers!$G$1:$G$1001,,0)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8">
        <f>INDEX(products!$A$1:$G$49,MATCH(orders!$D761,products!$A$1:$A$49,0),MATCH(orders!L$1,products!$A$1:$G$1,0))</f>
        <v>29.784999999999997</v>
      </c>
      <c r="M761" s="9">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_xlfn.XLOOKUP(orders!C762,customers!$A$1:$A$1001,customers!$G$1:$G$1001,,0)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8">
        <f>INDEX(products!$A$1:$G$49,MATCH(orders!$D762,products!$A$1:$A$49,0),MATCH(orders!L$1,products!$A$1:$G$1,0))</f>
        <v>8.91</v>
      </c>
      <c r="M762" s="9">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_xlfn.XLOOKUP(orders!C763,customers!$A$1:$A$1001,customers!$G$1:$G$1001,,0)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8">
        <f>INDEX(products!$A$1:$G$49,MATCH(orders!$D763,products!$A$1:$A$49,0),MATCH(orders!L$1,products!$A$1:$G$1,0))</f>
        <v>14.85</v>
      </c>
      <c r="M763" s="9">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_xlfn.XLOOKUP(orders!C764,customers!$A$1:$A$1001,customers!$G$1:$G$1001,,0)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8">
        <f>INDEX(products!$A$1:$G$49,MATCH(orders!$D764,products!$A$1:$A$49,0),MATCH(orders!L$1,products!$A$1:$G$1,0))</f>
        <v>8.73</v>
      </c>
      <c r="M764" s="9">
        <f t="shared" si="33"/>
        <v>43.650000000000006</v>
      </c>
      <c r="N764" t="str">
        <f t="shared" si="34"/>
        <v>Liberica</v>
      </c>
      <c r="O764" t="str">
        <f t="shared" si="35"/>
        <v>Mediium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_xlfn.XLOOKUP(orders!C765,customers!$A$1:$A$1001,customers!$G$1:$G$1001,,0)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8">
        <f>INDEX(products!$A$1:$G$49,MATCH(orders!$D765,products!$A$1:$A$49,0),MATCH(orders!L$1,products!$A$1:$G$1,0))</f>
        <v>7.77</v>
      </c>
      <c r="M765" s="9">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_xlfn.XLOOKUP(orders!C766,customers!$A$1:$A$1001,customers!$G$1:$G$1001,,0)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8">
        <f>INDEX(products!$A$1:$G$49,MATCH(orders!$D766,products!$A$1:$A$49,0),MATCH(orders!L$1,products!$A$1:$G$1,0))</f>
        <v>29.784999999999997</v>
      </c>
      <c r="M766" s="9">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_xlfn.XLOOKUP(orders!C767,customers!$A$1:$A$1001,customers!$G$1:$G$1001,,0)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8">
        <f>INDEX(products!$A$1:$G$49,MATCH(orders!$D767,products!$A$1:$A$49,0),MATCH(orders!L$1,products!$A$1:$G$1,0))</f>
        <v>9.9499999999999993</v>
      </c>
      <c r="M767" s="9">
        <f t="shared" si="33"/>
        <v>59.699999999999996</v>
      </c>
      <c r="N767" t="str">
        <f t="shared" si="34"/>
        <v>Robusta</v>
      </c>
      <c r="O767" t="str">
        <f t="shared" si="35"/>
        <v>Mediium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_xlfn.XLOOKUP(orders!C768,customers!$A$1:$A$1001,customers!$G$1:$G$1001,,0)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8">
        <f>INDEX(products!$A$1:$G$49,MATCH(orders!$D768,products!$A$1:$A$49,0),MATCH(orders!L$1,products!$A$1:$G$1,0))</f>
        <v>7.77</v>
      </c>
      <c r="M768" s="9">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_xlfn.XLOOKUP(orders!C769,customers!$A$1:$A$1001,customers!$G$1:$G$1001,,0)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8">
        <f>INDEX(products!$A$1:$G$49,MATCH(orders!$D769,products!$A$1:$A$49,0),MATCH(orders!L$1,products!$A$1:$G$1,0))</f>
        <v>29.784999999999997</v>
      </c>
      <c r="M769" s="9">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_xlfn.XLOOKUP(orders!C770,customers!$A$1:$A$1001,customers!$G$1:$G$1001,,0)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8">
        <f>INDEX(products!$A$1:$G$49,MATCH(orders!$D770,products!$A$1:$A$49,0),MATCH(orders!L$1,products!$A$1:$G$1,0))</f>
        <v>11.95</v>
      </c>
      <c r="M770" s="9">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_xlfn.XLOOKUP(orders!C771,customers!$A$1:$A$1001,customers!$G$1:$G$1001,,0)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8">
        <f>INDEX(products!$A$1:$G$49,MATCH(orders!$D771,products!$A$1:$A$49,0),MATCH(orders!L$1,products!$A$1:$G$1,0))</f>
        <v>22.884999999999998</v>
      </c>
      <c r="M771" s="9">
        <f t="shared" ref="M771:M834" si="36">L771*E771</f>
        <v>137.31</v>
      </c>
      <c r="N771" t="str">
        <f t="shared" ref="N771:N834" si="37">IF(I771="Rob","Robusta",IF(I771="exc","Excelsa",IF(I771="ara","Arabica",IF(I771="Lib","Liberica",""))))</f>
        <v>Robusta</v>
      </c>
      <c r="O771" t="str">
        <f t="shared" ref="O771:O834" si="38">IF(J771="m","Mediium",IF(J771="l","Light",IF(J771="d","Dark","")))</f>
        <v>Mediium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_xlfn.XLOOKUP(orders!C772,customers!$A$1:$A$1001,customers!$G$1:$G$1001,,0)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8">
        <f>INDEX(products!$A$1:$G$49,MATCH(orders!$D772,products!$A$1:$A$49,0),MATCH(orders!L$1,products!$A$1:$G$1,0))</f>
        <v>9.9499999999999993</v>
      </c>
      <c r="M772" s="9">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_xlfn.XLOOKUP(orders!C773,customers!$A$1:$A$1001,customers!$G$1:$G$1001,,0)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8">
        <f>INDEX(products!$A$1:$G$49,MATCH(orders!$D773,products!$A$1:$A$49,0),MATCH(orders!L$1,products!$A$1:$G$1,0))</f>
        <v>7.169999999999999</v>
      </c>
      <c r="M773" s="9">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_xlfn.XLOOKUP(orders!C774,customers!$A$1:$A$1001,customers!$G$1:$G$1001,,0)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8">
        <f>INDEX(products!$A$1:$G$49,MATCH(orders!$D774,products!$A$1:$A$49,0),MATCH(orders!L$1,products!$A$1:$G$1,0))</f>
        <v>13.75</v>
      </c>
      <c r="M774" s="9">
        <f t="shared" si="36"/>
        <v>82.5</v>
      </c>
      <c r="N774" t="str">
        <f t="shared" si="37"/>
        <v>Excelsa</v>
      </c>
      <c r="O774" t="str">
        <f t="shared" si="38"/>
        <v>Mediium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_xlfn.XLOOKUP(orders!C775,customers!$A$1:$A$1001,customers!$G$1:$G$1001,,0)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8">
        <f>INDEX(products!$A$1:$G$49,MATCH(orders!$D775,products!$A$1:$A$49,0),MATCH(orders!L$1,products!$A$1:$G$1,0))</f>
        <v>4.3650000000000002</v>
      </c>
      <c r="M775" s="9">
        <f t="shared" si="36"/>
        <v>8.73</v>
      </c>
      <c r="N775" t="str">
        <f t="shared" si="37"/>
        <v>Liberica</v>
      </c>
      <c r="O775" t="str">
        <f t="shared" si="38"/>
        <v>Mediium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_xlfn.XLOOKUP(orders!C776,customers!$A$1:$A$1001,customers!$G$1:$G$1001,,0)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8">
        <f>INDEX(products!$A$1:$G$49,MATCH(orders!$D776,products!$A$1:$A$49,0),MATCH(orders!L$1,products!$A$1:$G$1,0))</f>
        <v>9.9499999999999993</v>
      </c>
      <c r="M776" s="9">
        <f t="shared" si="36"/>
        <v>19.899999999999999</v>
      </c>
      <c r="N776" t="str">
        <f t="shared" si="37"/>
        <v>Robusta</v>
      </c>
      <c r="O776" t="str">
        <f t="shared" si="38"/>
        <v>Mediium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_xlfn.XLOOKUP(orders!C777,customers!$A$1:$A$1001,customers!$G$1:$G$1001,,0)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8">
        <f>INDEX(products!$A$1:$G$49,MATCH(orders!$D777,products!$A$1:$A$49,0),MATCH(orders!L$1,products!$A$1:$G$1,0))</f>
        <v>8.91</v>
      </c>
      <c r="M777" s="9">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_xlfn.XLOOKUP(orders!C778,customers!$A$1:$A$1001,customers!$G$1:$G$1001,,0)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8">
        <f>INDEX(products!$A$1:$G$49,MATCH(orders!$D778,products!$A$1:$A$49,0),MATCH(orders!L$1,products!$A$1:$G$1,0))</f>
        <v>6.75</v>
      </c>
      <c r="M778" s="9">
        <f t="shared" si="36"/>
        <v>20.25</v>
      </c>
      <c r="N778" t="str">
        <f t="shared" si="37"/>
        <v>Arabica</v>
      </c>
      <c r="O778" t="str">
        <f t="shared" si="38"/>
        <v>Mediium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_xlfn.XLOOKUP(orders!C779,customers!$A$1:$A$1001,customers!$G$1:$G$1001,,0)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8">
        <f>INDEX(products!$A$1:$G$49,MATCH(orders!$D779,products!$A$1:$A$49,0),MATCH(orders!L$1,products!$A$1:$G$1,0))</f>
        <v>29.784999999999997</v>
      </c>
      <c r="M779" s="9">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_xlfn.XLOOKUP(orders!C780,customers!$A$1:$A$1001,customers!$G$1:$G$1001,,0)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8">
        <f>INDEX(products!$A$1:$G$49,MATCH(orders!$D780,products!$A$1:$A$49,0),MATCH(orders!L$1,products!$A$1:$G$1,0))</f>
        <v>9.51</v>
      </c>
      <c r="M780" s="9">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_xlfn.XLOOKUP(orders!C781,customers!$A$1:$A$1001,customers!$G$1:$G$1001,,0)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8">
        <f>INDEX(products!$A$1:$G$49,MATCH(orders!$D781,products!$A$1:$A$49,0),MATCH(orders!L$1,products!$A$1:$G$1,0))</f>
        <v>12.95</v>
      </c>
      <c r="M781" s="9">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_xlfn.XLOOKUP(orders!C782,customers!$A$1:$A$1001,customers!$G$1:$G$1001,,0)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8">
        <f>INDEX(products!$A$1:$G$49,MATCH(orders!$D782,products!$A$1:$A$49,0),MATCH(orders!L$1,products!$A$1:$G$1,0))</f>
        <v>13.75</v>
      </c>
      <c r="M782" s="9">
        <f t="shared" si="36"/>
        <v>41.25</v>
      </c>
      <c r="N782" t="str">
        <f t="shared" si="37"/>
        <v>Excelsa</v>
      </c>
      <c r="O782" t="str">
        <f t="shared" si="38"/>
        <v>Mediium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_xlfn.XLOOKUP(orders!C783,customers!$A$1:$A$1001,customers!$G$1:$G$1001,,0)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8">
        <f>INDEX(products!$A$1:$G$49,MATCH(orders!$D783,products!$A$1:$A$49,0),MATCH(orders!L$1,products!$A$1:$G$1,0))</f>
        <v>36.454999999999998</v>
      </c>
      <c r="M783" s="9">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_xlfn.XLOOKUP(orders!C784,customers!$A$1:$A$1001,customers!$G$1:$G$1001,,0)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8">
        <f>INDEX(products!$A$1:$G$49,MATCH(orders!$D784,products!$A$1:$A$49,0),MATCH(orders!L$1,products!$A$1:$G$1,0))</f>
        <v>4.4550000000000001</v>
      </c>
      <c r="M784" s="9">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_xlfn.XLOOKUP(orders!C785,customers!$A$1:$A$1001,customers!$G$1:$G$1001,,0)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8">
        <f>INDEX(products!$A$1:$G$49,MATCH(orders!$D785,products!$A$1:$A$49,0),MATCH(orders!L$1,products!$A$1:$G$1,0))</f>
        <v>8.73</v>
      </c>
      <c r="M785" s="9">
        <f t="shared" si="36"/>
        <v>43.650000000000006</v>
      </c>
      <c r="N785" t="str">
        <f t="shared" si="37"/>
        <v>Liberica</v>
      </c>
      <c r="O785" t="str">
        <f t="shared" si="38"/>
        <v>Mediium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_xlfn.XLOOKUP(orders!C786,customers!$A$1:$A$1001,customers!$G$1:$G$1001,,0)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8">
        <f>INDEX(products!$A$1:$G$49,MATCH(orders!$D786,products!$A$1:$A$49,0),MATCH(orders!L$1,products!$A$1:$G$1,0))</f>
        <v>15.85</v>
      </c>
      <c r="M786" s="9">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_xlfn.XLOOKUP(orders!C787,customers!$A$1:$A$1001,customers!$G$1:$G$1001,,0)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8">
        <f>INDEX(products!$A$1:$G$49,MATCH(orders!$D787,products!$A$1:$A$49,0),MATCH(orders!L$1,products!$A$1:$G$1,0))</f>
        <v>22.884999999999998</v>
      </c>
      <c r="M787" s="9">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_xlfn.XLOOKUP(orders!C788,customers!$A$1:$A$1001,customers!$G$1:$G$1001,,0)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8">
        <f>INDEX(products!$A$1:$G$49,MATCH(orders!$D788,products!$A$1:$A$49,0),MATCH(orders!L$1,products!$A$1:$G$1,0))</f>
        <v>27.945</v>
      </c>
      <c r="M788" s="9">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_xlfn.XLOOKUP(orders!C789,customers!$A$1:$A$1001,customers!$G$1:$G$1001,,0)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8">
        <f>INDEX(products!$A$1:$G$49,MATCH(orders!$D789,products!$A$1:$A$49,0),MATCH(orders!L$1,products!$A$1:$G$1,0))</f>
        <v>13.75</v>
      </c>
      <c r="M789" s="9">
        <f t="shared" si="36"/>
        <v>82.5</v>
      </c>
      <c r="N789" t="str">
        <f t="shared" si="37"/>
        <v>Excelsa</v>
      </c>
      <c r="O789" t="str">
        <f t="shared" si="38"/>
        <v>Mediium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_xlfn.XLOOKUP(orders!C790,customers!$A$1:$A$1001,customers!$G$1:$G$1001,,0)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8">
        <f>INDEX(products!$A$1:$G$49,MATCH(orders!$D790,products!$A$1:$A$49,0),MATCH(orders!L$1,products!$A$1:$G$1,0))</f>
        <v>22.884999999999998</v>
      </c>
      <c r="M790" s="9">
        <f t="shared" si="36"/>
        <v>45.769999999999996</v>
      </c>
      <c r="N790" t="str">
        <f t="shared" si="37"/>
        <v>Robusta</v>
      </c>
      <c r="O790" t="str">
        <f t="shared" si="38"/>
        <v>Mediium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_xlfn.XLOOKUP(orders!C791,customers!$A$1:$A$1001,customers!$G$1:$G$1001,,0)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8">
        <f>INDEX(products!$A$1:$G$49,MATCH(orders!$D791,products!$A$1:$A$49,0),MATCH(orders!L$1,products!$A$1:$G$1,0))</f>
        <v>12.95</v>
      </c>
      <c r="M791" s="9">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_xlfn.XLOOKUP(orders!C792,customers!$A$1:$A$1001,customers!$G$1:$G$1001,,0)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8">
        <f>INDEX(products!$A$1:$G$49,MATCH(orders!$D792,products!$A$1:$A$49,0),MATCH(orders!L$1,products!$A$1:$G$1,0))</f>
        <v>7.77</v>
      </c>
      <c r="M792" s="9">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_xlfn.XLOOKUP(orders!C793,customers!$A$1:$A$1001,customers!$G$1:$G$1001,,0)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8">
        <f>INDEX(products!$A$1:$G$49,MATCH(orders!$D793,products!$A$1:$A$49,0),MATCH(orders!L$1,products!$A$1:$G$1,0))</f>
        <v>4.7549999999999999</v>
      </c>
      <c r="M793" s="9">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_xlfn.XLOOKUP(orders!C794,customers!$A$1:$A$1001,customers!$G$1:$G$1001,,0)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8">
        <f>INDEX(products!$A$1:$G$49,MATCH(orders!$D794,products!$A$1:$A$49,0),MATCH(orders!L$1,products!$A$1:$G$1,0))</f>
        <v>8.73</v>
      </c>
      <c r="M794" s="9">
        <f t="shared" si="36"/>
        <v>52.38</v>
      </c>
      <c r="N794" t="str">
        <f t="shared" si="37"/>
        <v>Liberica</v>
      </c>
      <c r="O794" t="str">
        <f t="shared" si="38"/>
        <v>Mediium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_xlfn.XLOOKUP(orders!C795,customers!$A$1:$A$1001,customers!$G$1:$G$1001,,0)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8">
        <f>INDEX(products!$A$1:$G$49,MATCH(orders!$D795,products!$A$1:$A$49,0),MATCH(orders!L$1,products!$A$1:$G$1,0))</f>
        <v>3.5849999999999995</v>
      </c>
      <c r="M795" s="9">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_xlfn.XLOOKUP(orders!C796,customers!$A$1:$A$1001,customers!$G$1:$G$1001,,0)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8">
        <f>INDEX(products!$A$1:$G$49,MATCH(orders!$D796,products!$A$1:$A$49,0),MATCH(orders!L$1,products!$A$1:$G$1,0))</f>
        <v>29.784999999999997</v>
      </c>
      <c r="M796" s="9">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_xlfn.XLOOKUP(orders!C797,customers!$A$1:$A$1001,customers!$G$1:$G$1001,,0)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8">
        <f>INDEX(products!$A$1:$G$49,MATCH(orders!$D797,products!$A$1:$A$49,0),MATCH(orders!L$1,products!$A$1:$G$1,0))</f>
        <v>7.169999999999999</v>
      </c>
      <c r="M797" s="9">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_xlfn.XLOOKUP(orders!C798,customers!$A$1:$A$1001,customers!$G$1:$G$1001,,0)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8">
        <f>INDEX(products!$A$1:$G$49,MATCH(orders!$D798,products!$A$1:$A$49,0),MATCH(orders!L$1,products!$A$1:$G$1,0))</f>
        <v>9.51</v>
      </c>
      <c r="M798" s="9">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_xlfn.XLOOKUP(orders!C799,customers!$A$1:$A$1001,customers!$G$1:$G$1001,,0)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8">
        <f>INDEX(products!$A$1:$G$49,MATCH(orders!$D799,products!$A$1:$A$49,0),MATCH(orders!L$1,products!$A$1:$G$1,0))</f>
        <v>7.77</v>
      </c>
      <c r="M799" s="9">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_xlfn.XLOOKUP(orders!C800,customers!$A$1:$A$1001,customers!$G$1:$G$1001,,0)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8">
        <f>INDEX(products!$A$1:$G$49,MATCH(orders!$D800,products!$A$1:$A$49,0),MATCH(orders!L$1,products!$A$1:$G$1,0))</f>
        <v>2.6849999999999996</v>
      </c>
      <c r="M800" s="9">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_xlfn.XLOOKUP(orders!C801,customers!$A$1:$A$1001,customers!$G$1:$G$1001,,0)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8">
        <f>INDEX(products!$A$1:$G$49,MATCH(orders!$D801,products!$A$1:$A$49,0),MATCH(orders!L$1,products!$A$1:$G$1,0))</f>
        <v>12.15</v>
      </c>
      <c r="M801" s="9">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_xlfn.XLOOKUP(orders!C802,customers!$A$1:$A$1001,customers!$G$1:$G$1001,,0)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8">
        <f>INDEX(products!$A$1:$G$49,MATCH(orders!$D802,products!$A$1:$A$49,0),MATCH(orders!L$1,products!$A$1:$G$1,0))</f>
        <v>2.6849999999999996</v>
      </c>
      <c r="M802" s="9">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_xlfn.XLOOKUP(orders!C803,customers!$A$1:$A$1001,customers!$G$1:$G$1001,,0)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8">
        <f>INDEX(products!$A$1:$G$49,MATCH(orders!$D803,products!$A$1:$A$49,0),MATCH(orders!L$1,products!$A$1:$G$1,0))</f>
        <v>20.584999999999997</v>
      </c>
      <c r="M803" s="9">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_xlfn.XLOOKUP(orders!C804,customers!$A$1:$A$1001,customers!$G$1:$G$1001,,0)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8">
        <f>INDEX(products!$A$1:$G$49,MATCH(orders!$D804,products!$A$1:$A$49,0),MATCH(orders!L$1,products!$A$1:$G$1,0))</f>
        <v>2.6849999999999996</v>
      </c>
      <c r="M804" s="9">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_xlfn.XLOOKUP(orders!C805,customers!$A$1:$A$1001,customers!$G$1:$G$1001,,0)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8">
        <f>INDEX(products!$A$1:$G$49,MATCH(orders!$D805,products!$A$1:$A$49,0),MATCH(orders!L$1,products!$A$1:$G$1,0))</f>
        <v>31.624999999999996</v>
      </c>
      <c r="M805" s="9">
        <f t="shared" si="36"/>
        <v>126.49999999999999</v>
      </c>
      <c r="N805" t="str">
        <f t="shared" si="37"/>
        <v>Excelsa</v>
      </c>
      <c r="O805" t="str">
        <f t="shared" si="38"/>
        <v>Mediium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_xlfn.XLOOKUP(orders!C806,customers!$A$1:$A$1001,customers!$G$1:$G$1001,,0)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8">
        <f>INDEX(products!$A$1:$G$49,MATCH(orders!$D806,products!$A$1:$A$49,0),MATCH(orders!L$1,products!$A$1:$G$1,0))</f>
        <v>11.95</v>
      </c>
      <c r="M806" s="9">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_xlfn.XLOOKUP(orders!C807,customers!$A$1:$A$1001,customers!$G$1:$G$1001,,0)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8">
        <f>INDEX(products!$A$1:$G$49,MATCH(orders!$D807,products!$A$1:$A$49,0),MATCH(orders!L$1,products!$A$1:$G$1,0))</f>
        <v>5.97</v>
      </c>
      <c r="M807" s="9">
        <f t="shared" si="36"/>
        <v>5.97</v>
      </c>
      <c r="N807" t="str">
        <f t="shared" si="37"/>
        <v>Robusta</v>
      </c>
      <c r="O807" t="str">
        <f t="shared" si="38"/>
        <v>Mediium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_xlfn.XLOOKUP(orders!C808,customers!$A$1:$A$1001,customers!$G$1:$G$1001,,0)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8">
        <f>INDEX(products!$A$1:$G$49,MATCH(orders!$D808,products!$A$1:$A$49,0),MATCH(orders!L$1,products!$A$1:$G$1,0))</f>
        <v>3.8849999999999998</v>
      </c>
      <c r="M808" s="9">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_xlfn.XLOOKUP(orders!C809,customers!$A$1:$A$1001,customers!$G$1:$G$1001,,0)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8">
        <f>INDEX(products!$A$1:$G$49,MATCH(orders!$D809,products!$A$1:$A$49,0),MATCH(orders!L$1,products!$A$1:$G$1,0))</f>
        <v>7.77</v>
      </c>
      <c r="M809" s="9">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_xlfn.XLOOKUP(orders!C810,customers!$A$1:$A$1001,customers!$G$1:$G$1001,,0)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8">
        <f>INDEX(products!$A$1:$G$49,MATCH(orders!$D810,products!$A$1:$A$49,0),MATCH(orders!L$1,products!$A$1:$G$1,0))</f>
        <v>27.484999999999996</v>
      </c>
      <c r="M810" s="9">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_xlfn.XLOOKUP(orders!C811,customers!$A$1:$A$1001,customers!$G$1:$G$1001,,0)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8">
        <f>INDEX(products!$A$1:$G$49,MATCH(orders!$D811,products!$A$1:$A$49,0),MATCH(orders!L$1,products!$A$1:$G$1,0))</f>
        <v>2.6849999999999996</v>
      </c>
      <c r="M811" s="9">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_xlfn.XLOOKUP(orders!C812,customers!$A$1:$A$1001,customers!$G$1:$G$1001,,0)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8">
        <f>INDEX(products!$A$1:$G$49,MATCH(orders!$D812,products!$A$1:$A$49,0),MATCH(orders!L$1,products!$A$1:$G$1,0))</f>
        <v>9.51</v>
      </c>
      <c r="M812" s="9">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_xlfn.XLOOKUP(orders!C813,customers!$A$1:$A$1001,customers!$G$1:$G$1001,,0)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8">
        <f>INDEX(products!$A$1:$G$49,MATCH(orders!$D813,products!$A$1:$A$49,0),MATCH(orders!L$1,products!$A$1:$G$1,0))</f>
        <v>11.25</v>
      </c>
      <c r="M813" s="9">
        <f t="shared" si="36"/>
        <v>67.5</v>
      </c>
      <c r="N813" t="str">
        <f t="shared" si="37"/>
        <v>Arabica</v>
      </c>
      <c r="O813" t="str">
        <f t="shared" si="38"/>
        <v>Mediium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_xlfn.XLOOKUP(orders!C814,customers!$A$1:$A$1001,customers!$G$1:$G$1001,,0)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8">
        <f>INDEX(products!$A$1:$G$49,MATCH(orders!$D814,products!$A$1:$A$49,0),MATCH(orders!L$1,products!$A$1:$G$1,0))</f>
        <v>29.784999999999997</v>
      </c>
      <c r="M814" s="9">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_xlfn.XLOOKUP(orders!C815,customers!$A$1:$A$1001,customers!$G$1:$G$1001,,0)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8">
        <f>INDEX(products!$A$1:$G$49,MATCH(orders!$D815,products!$A$1:$A$49,0),MATCH(orders!L$1,products!$A$1:$G$1,0))</f>
        <v>31.624999999999996</v>
      </c>
      <c r="M815" s="9">
        <f t="shared" si="36"/>
        <v>31.624999999999996</v>
      </c>
      <c r="N815" t="str">
        <f t="shared" si="37"/>
        <v>Excelsa</v>
      </c>
      <c r="O815" t="str">
        <f t="shared" si="38"/>
        <v>Mediium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_xlfn.XLOOKUP(orders!C816,customers!$A$1:$A$1001,customers!$G$1:$G$1001,,0)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8">
        <f>INDEX(products!$A$1:$G$49,MATCH(orders!$D816,products!$A$1:$A$49,0),MATCH(orders!L$1,products!$A$1:$G$1,0))</f>
        <v>4.4550000000000001</v>
      </c>
      <c r="M816" s="9">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_xlfn.XLOOKUP(orders!C817,customers!$A$1:$A$1001,customers!$G$1:$G$1001,,0)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8">
        <f>INDEX(products!$A$1:$G$49,MATCH(orders!$D817,products!$A$1:$A$49,0),MATCH(orders!L$1,products!$A$1:$G$1,0))</f>
        <v>5.97</v>
      </c>
      <c r="M817" s="9">
        <f t="shared" si="36"/>
        <v>35.82</v>
      </c>
      <c r="N817" t="str">
        <f t="shared" si="37"/>
        <v>Robusta</v>
      </c>
      <c r="O817" t="str">
        <f t="shared" si="38"/>
        <v>Mediium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_xlfn.XLOOKUP(orders!C818,customers!$A$1:$A$1001,customers!$G$1:$G$1001,,0)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8">
        <f>INDEX(products!$A$1:$G$49,MATCH(orders!$D818,products!$A$1:$A$49,0),MATCH(orders!L$1,products!$A$1:$G$1,0))</f>
        <v>9.51</v>
      </c>
      <c r="M818" s="9">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_xlfn.XLOOKUP(orders!C819,customers!$A$1:$A$1001,customers!$G$1:$G$1001,,0)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8">
        <f>INDEX(products!$A$1:$G$49,MATCH(orders!$D819,products!$A$1:$A$49,0),MATCH(orders!L$1,products!$A$1:$G$1,0))</f>
        <v>7.77</v>
      </c>
      <c r="M819" s="9">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_xlfn.XLOOKUP(orders!C820,customers!$A$1:$A$1001,customers!$G$1:$G$1001,,0)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8">
        <f>INDEX(products!$A$1:$G$49,MATCH(orders!$D820,products!$A$1:$A$49,0),MATCH(orders!L$1,products!$A$1:$G$1,0))</f>
        <v>15.85</v>
      </c>
      <c r="M820" s="9">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_xlfn.XLOOKUP(orders!C821,customers!$A$1:$A$1001,customers!$G$1:$G$1001,,0)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8">
        <f>INDEX(products!$A$1:$G$49,MATCH(orders!$D821,products!$A$1:$A$49,0),MATCH(orders!L$1,products!$A$1:$G$1,0))</f>
        <v>4.7549999999999999</v>
      </c>
      <c r="M821" s="9">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_xlfn.XLOOKUP(orders!C822,customers!$A$1:$A$1001,customers!$G$1:$G$1001,,0)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8">
        <f>INDEX(products!$A$1:$G$49,MATCH(orders!$D822,products!$A$1:$A$49,0),MATCH(orders!L$1,products!$A$1:$G$1,0))</f>
        <v>13.75</v>
      </c>
      <c r="M822" s="9">
        <f t="shared" si="36"/>
        <v>55</v>
      </c>
      <c r="N822" t="str">
        <f t="shared" si="37"/>
        <v>Excelsa</v>
      </c>
      <c r="O822" t="str">
        <f t="shared" si="38"/>
        <v>Mediium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_xlfn.XLOOKUP(orders!C823,customers!$A$1:$A$1001,customers!$G$1:$G$1001,,0)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8">
        <f>INDEX(products!$A$1:$G$49,MATCH(orders!$D823,products!$A$1:$A$49,0),MATCH(orders!L$1,products!$A$1:$G$1,0))</f>
        <v>5.3699999999999992</v>
      </c>
      <c r="M823" s="9">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_xlfn.XLOOKUP(orders!C824,customers!$A$1:$A$1001,customers!$G$1:$G$1001,,0)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8">
        <f>INDEX(products!$A$1:$G$49,MATCH(orders!$D824,products!$A$1:$A$49,0),MATCH(orders!L$1,products!$A$1:$G$1,0))</f>
        <v>34.154999999999994</v>
      </c>
      <c r="M824" s="9">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_xlfn.XLOOKUP(orders!C825,customers!$A$1:$A$1001,customers!$G$1:$G$1001,,0)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8">
        <f>INDEX(products!$A$1:$G$49,MATCH(orders!$D825,products!$A$1:$A$49,0),MATCH(orders!L$1,products!$A$1:$G$1,0))</f>
        <v>15.85</v>
      </c>
      <c r="M825" s="9">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_xlfn.XLOOKUP(orders!C826,customers!$A$1:$A$1001,customers!$G$1:$G$1001,,0)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8">
        <f>INDEX(products!$A$1:$G$49,MATCH(orders!$D826,products!$A$1:$A$49,0),MATCH(orders!L$1,products!$A$1:$G$1,0))</f>
        <v>3.375</v>
      </c>
      <c r="M826" s="9">
        <f t="shared" si="36"/>
        <v>16.875</v>
      </c>
      <c r="N826" t="str">
        <f t="shared" si="37"/>
        <v>Arabica</v>
      </c>
      <c r="O826" t="str">
        <f t="shared" si="38"/>
        <v>Mediium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_xlfn.XLOOKUP(orders!C827,customers!$A$1:$A$1001,customers!$G$1:$G$1001,,0)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8">
        <f>INDEX(products!$A$1:$G$49,MATCH(orders!$D827,products!$A$1:$A$49,0),MATCH(orders!L$1,products!$A$1:$G$1,0))</f>
        <v>9.9499999999999993</v>
      </c>
      <c r="M827" s="9">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_xlfn.XLOOKUP(orders!C828,customers!$A$1:$A$1001,customers!$G$1:$G$1001,,0)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8">
        <f>INDEX(products!$A$1:$G$49,MATCH(orders!$D828,products!$A$1:$A$49,0),MATCH(orders!L$1,products!$A$1:$G$1,0))</f>
        <v>8.25</v>
      </c>
      <c r="M828" s="9">
        <f t="shared" si="36"/>
        <v>41.25</v>
      </c>
      <c r="N828" t="str">
        <f t="shared" si="37"/>
        <v>Excelsa</v>
      </c>
      <c r="O828" t="str">
        <f t="shared" si="38"/>
        <v>Mediium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_xlfn.XLOOKUP(orders!C829,customers!$A$1:$A$1001,customers!$G$1:$G$1001,,0)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8">
        <f>INDEX(products!$A$1:$G$49,MATCH(orders!$D829,products!$A$1:$A$49,0),MATCH(orders!L$1,products!$A$1:$G$1,0))</f>
        <v>4.125</v>
      </c>
      <c r="M829" s="9">
        <f t="shared" si="36"/>
        <v>20.625</v>
      </c>
      <c r="N829" t="str">
        <f t="shared" si="37"/>
        <v>Excelsa</v>
      </c>
      <c r="O829" t="str">
        <f t="shared" si="38"/>
        <v>Mediium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_xlfn.XLOOKUP(orders!C830,customers!$A$1:$A$1001,customers!$G$1:$G$1001,,0)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8">
        <f>INDEX(products!$A$1:$G$49,MATCH(orders!$D830,products!$A$1:$A$49,0),MATCH(orders!L$1,products!$A$1:$G$1,0))</f>
        <v>22.884999999999998</v>
      </c>
      <c r="M830" s="9">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_xlfn.XLOOKUP(orders!C831,customers!$A$1:$A$1001,customers!$G$1:$G$1001,,0)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8">
        <f>INDEX(products!$A$1:$G$49,MATCH(orders!$D831,products!$A$1:$A$49,0),MATCH(orders!L$1,products!$A$1:$G$1,0))</f>
        <v>2.9849999999999999</v>
      </c>
      <c r="M831" s="9">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_xlfn.XLOOKUP(orders!C832,customers!$A$1:$A$1001,customers!$G$1:$G$1001,,0)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8">
        <f>INDEX(products!$A$1:$G$49,MATCH(orders!$D832,products!$A$1:$A$49,0),MATCH(orders!L$1,products!$A$1:$G$1,0))</f>
        <v>13.75</v>
      </c>
      <c r="M832" s="9">
        <f t="shared" si="36"/>
        <v>27.5</v>
      </c>
      <c r="N832" t="str">
        <f t="shared" si="37"/>
        <v>Excelsa</v>
      </c>
      <c r="O832" t="str">
        <f t="shared" si="38"/>
        <v>Mediium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_xlfn.XLOOKUP(orders!C833,customers!$A$1:$A$1001,customers!$G$1:$G$1001,,0)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8">
        <f>INDEX(products!$A$1:$G$49,MATCH(orders!$D833,products!$A$1:$A$49,0),MATCH(orders!L$1,products!$A$1:$G$1,0))</f>
        <v>2.9849999999999999</v>
      </c>
      <c r="M833" s="9">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_xlfn.XLOOKUP(orders!C834,customers!$A$1:$A$1001,customers!$G$1:$G$1001,,0)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8">
        <f>INDEX(products!$A$1:$G$49,MATCH(orders!$D834,products!$A$1:$A$49,0),MATCH(orders!L$1,products!$A$1:$G$1,0))</f>
        <v>9.9499999999999993</v>
      </c>
      <c r="M834" s="9">
        <f t="shared" si="36"/>
        <v>59.699999999999996</v>
      </c>
      <c r="N834" t="str">
        <f t="shared" si="37"/>
        <v>Robusta</v>
      </c>
      <c r="O834" t="str">
        <f t="shared" si="38"/>
        <v>Mediium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_xlfn.XLOOKUP(orders!C835,customers!$A$1:$A$1001,customers!$G$1:$G$1001,,0)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8">
        <f>INDEX(products!$A$1:$G$49,MATCH(orders!$D835,products!$A$1:$A$49,0),MATCH(orders!L$1,products!$A$1:$G$1,0))</f>
        <v>20.584999999999997</v>
      </c>
      <c r="M835" s="9">
        <f t="shared" ref="M835:M898" si="39">L835*E835</f>
        <v>82.339999999999989</v>
      </c>
      <c r="N835" t="str">
        <f t="shared" ref="N835:N898" si="40">IF(I835="Rob","Robusta",IF(I835="exc","Excelsa",IF(I835="ara","Arabica",IF(I835="Lib","Liberica",""))))</f>
        <v>Robusta</v>
      </c>
      <c r="O835" t="str">
        <f t="shared" ref="O835:O898" si="41">IF(J835="m","Mediium",IF(J835="l","Light",IF(J835="d","Dark","")))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_xlfn.XLOOKUP(orders!C836,customers!$A$1:$A$1001,customers!$G$1:$G$1001,,0)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8">
        <f>INDEX(products!$A$1:$G$49,MATCH(orders!$D836,products!$A$1:$A$49,0),MATCH(orders!L$1,products!$A$1:$G$1,0))</f>
        <v>22.884999999999998</v>
      </c>
      <c r="M836" s="9">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_xlfn.XLOOKUP(orders!C837,customers!$A$1:$A$1001,customers!$G$1:$G$1001,,0)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8">
        <f>INDEX(products!$A$1:$G$49,MATCH(orders!$D837,products!$A$1:$A$49,0),MATCH(orders!L$1,products!$A$1:$G$1,0))</f>
        <v>8.91</v>
      </c>
      <c r="M837" s="9">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_xlfn.XLOOKUP(orders!C838,customers!$A$1:$A$1001,customers!$G$1:$G$1001,,0)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8">
        <f>INDEX(products!$A$1:$G$49,MATCH(orders!$D838,products!$A$1:$A$49,0),MATCH(orders!L$1,products!$A$1:$G$1,0))</f>
        <v>2.9849999999999999</v>
      </c>
      <c r="M838" s="9">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_xlfn.XLOOKUP(orders!C839,customers!$A$1:$A$1001,customers!$G$1:$G$1001,,0)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8">
        <f>INDEX(products!$A$1:$G$49,MATCH(orders!$D839,products!$A$1:$A$49,0),MATCH(orders!L$1,products!$A$1:$G$1,0))</f>
        <v>33.464999999999996</v>
      </c>
      <c r="M839" s="9">
        <f t="shared" si="39"/>
        <v>100.39499999999998</v>
      </c>
      <c r="N839" t="str">
        <f t="shared" si="40"/>
        <v>Liberica</v>
      </c>
      <c r="O839" t="str">
        <f t="shared" si="41"/>
        <v>Mediium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_xlfn.XLOOKUP(orders!C840,customers!$A$1:$A$1001,customers!$G$1:$G$1001,,0)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8">
        <f>INDEX(products!$A$1:$G$49,MATCH(orders!$D840,products!$A$1:$A$49,0),MATCH(orders!L$1,products!$A$1:$G$1,0))</f>
        <v>22.884999999999998</v>
      </c>
      <c r="M840" s="9">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_xlfn.XLOOKUP(orders!C841,customers!$A$1:$A$1001,customers!$G$1:$G$1001,,0)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8">
        <f>INDEX(products!$A$1:$G$49,MATCH(orders!$D841,products!$A$1:$A$49,0),MATCH(orders!L$1,products!$A$1:$G$1,0))</f>
        <v>8.25</v>
      </c>
      <c r="M841" s="9">
        <f t="shared" si="39"/>
        <v>41.25</v>
      </c>
      <c r="N841" t="str">
        <f t="shared" si="40"/>
        <v>Excelsa</v>
      </c>
      <c r="O841" t="str">
        <f t="shared" si="41"/>
        <v>Mediium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_xlfn.XLOOKUP(orders!C842,customers!$A$1:$A$1001,customers!$G$1:$G$1001,,0)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8">
        <f>INDEX(products!$A$1:$G$49,MATCH(orders!$D842,products!$A$1:$A$49,0),MATCH(orders!L$1,products!$A$1:$G$1,0))</f>
        <v>7.169999999999999</v>
      </c>
      <c r="M842" s="9">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_xlfn.XLOOKUP(orders!C843,customers!$A$1:$A$1001,customers!$G$1:$G$1001,,0)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8">
        <f>INDEX(products!$A$1:$G$49,MATCH(orders!$D843,products!$A$1:$A$49,0),MATCH(orders!L$1,products!$A$1:$G$1,0))</f>
        <v>4.3650000000000002</v>
      </c>
      <c r="M843" s="9">
        <f t="shared" si="39"/>
        <v>4.3650000000000002</v>
      </c>
      <c r="N843" t="str">
        <f t="shared" si="40"/>
        <v>Liberica</v>
      </c>
      <c r="O843" t="str">
        <f t="shared" si="41"/>
        <v>Mediium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_xlfn.XLOOKUP(orders!C844,customers!$A$1:$A$1001,customers!$G$1:$G$1001,,0)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8">
        <f>INDEX(products!$A$1:$G$49,MATCH(orders!$D844,products!$A$1:$A$49,0),MATCH(orders!L$1,products!$A$1:$G$1,0))</f>
        <v>4.125</v>
      </c>
      <c r="M844" s="9">
        <f t="shared" si="39"/>
        <v>8.25</v>
      </c>
      <c r="N844" t="str">
        <f t="shared" si="40"/>
        <v>Excelsa</v>
      </c>
      <c r="O844" t="str">
        <f t="shared" si="41"/>
        <v>Mediium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_xlfn.XLOOKUP(orders!C845,customers!$A$1:$A$1001,customers!$G$1:$G$1001,,0)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8">
        <f>INDEX(products!$A$1:$G$49,MATCH(orders!$D845,products!$A$1:$A$49,0),MATCH(orders!L$1,products!$A$1:$G$1,0))</f>
        <v>4.125</v>
      </c>
      <c r="M845" s="9">
        <f t="shared" si="39"/>
        <v>8.25</v>
      </c>
      <c r="N845" t="str">
        <f t="shared" si="40"/>
        <v>Excelsa</v>
      </c>
      <c r="O845" t="str">
        <f t="shared" si="41"/>
        <v>Mediium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_xlfn.XLOOKUP(orders!C846,customers!$A$1:$A$1001,customers!$G$1:$G$1001,,0)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8">
        <f>INDEX(products!$A$1:$G$49,MATCH(orders!$D846,products!$A$1:$A$49,0),MATCH(orders!L$1,products!$A$1:$G$1,0))</f>
        <v>5.97</v>
      </c>
      <c r="M846" s="9">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_xlfn.XLOOKUP(orders!C847,customers!$A$1:$A$1001,customers!$G$1:$G$1001,,0)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8">
        <f>INDEX(products!$A$1:$G$49,MATCH(orders!$D847,products!$A$1:$A$49,0),MATCH(orders!L$1,products!$A$1:$G$1,0))</f>
        <v>27.945</v>
      </c>
      <c r="M847" s="9">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_xlfn.XLOOKUP(orders!C848,customers!$A$1:$A$1001,customers!$G$1:$G$1001,,0)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8">
        <f>INDEX(products!$A$1:$G$49,MATCH(orders!$D848,products!$A$1:$A$49,0),MATCH(orders!L$1,products!$A$1:$G$1,0))</f>
        <v>25.874999999999996</v>
      </c>
      <c r="M848" s="9">
        <f t="shared" si="39"/>
        <v>51.749999999999993</v>
      </c>
      <c r="N848" t="str">
        <f t="shared" si="40"/>
        <v>Arabica</v>
      </c>
      <c r="O848" t="str">
        <f t="shared" si="41"/>
        <v>Mediium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_xlfn.XLOOKUP(orders!C849,customers!$A$1:$A$1001,customers!$G$1:$G$1001,,0)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8">
        <f>INDEX(products!$A$1:$G$49,MATCH(orders!$D849,products!$A$1:$A$49,0),MATCH(orders!L$1,products!$A$1:$G$1,0))</f>
        <v>2.9849999999999999</v>
      </c>
      <c r="M849" s="9">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_xlfn.XLOOKUP(orders!C850,customers!$A$1:$A$1001,customers!$G$1:$G$1001,,0)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8">
        <f>INDEX(products!$A$1:$G$49,MATCH(orders!$D850,products!$A$1:$A$49,0),MATCH(orders!L$1,products!$A$1:$G$1,0))</f>
        <v>8.91</v>
      </c>
      <c r="M850" s="9">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_xlfn.XLOOKUP(orders!C851,customers!$A$1:$A$1001,customers!$G$1:$G$1001,,0)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8">
        <f>INDEX(products!$A$1:$G$49,MATCH(orders!$D851,products!$A$1:$A$49,0),MATCH(orders!L$1,products!$A$1:$G$1,0))</f>
        <v>3.8849999999999998</v>
      </c>
      <c r="M851" s="9">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_xlfn.XLOOKUP(orders!C852,customers!$A$1:$A$1001,customers!$G$1:$G$1001,,0)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8">
        <f>INDEX(products!$A$1:$G$49,MATCH(orders!$D852,products!$A$1:$A$49,0),MATCH(orders!L$1,products!$A$1:$G$1,0))</f>
        <v>3.375</v>
      </c>
      <c r="M852" s="9">
        <f t="shared" si="39"/>
        <v>6.75</v>
      </c>
      <c r="N852" t="str">
        <f t="shared" si="40"/>
        <v>Arabica</v>
      </c>
      <c r="O852" t="str">
        <f t="shared" si="41"/>
        <v>Mediium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_xlfn.XLOOKUP(orders!C853,customers!$A$1:$A$1001,customers!$G$1:$G$1001,,0)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8">
        <f>INDEX(products!$A$1:$G$49,MATCH(orders!$D853,products!$A$1:$A$49,0),MATCH(orders!L$1,products!$A$1:$G$1,0))</f>
        <v>7.77</v>
      </c>
      <c r="M853" s="9">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_xlfn.XLOOKUP(orders!C854,customers!$A$1:$A$1001,customers!$G$1:$G$1001,,0)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8">
        <f>INDEX(products!$A$1:$G$49,MATCH(orders!$D854,products!$A$1:$A$49,0),MATCH(orders!L$1,products!$A$1:$G$1,0))</f>
        <v>29.784999999999997</v>
      </c>
      <c r="M854" s="9">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_xlfn.XLOOKUP(orders!C855,customers!$A$1:$A$1001,customers!$G$1:$G$1001,,0)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8">
        <f>INDEX(products!$A$1:$G$49,MATCH(orders!$D855,products!$A$1:$A$49,0),MATCH(orders!L$1,products!$A$1:$G$1,0))</f>
        <v>9.9499999999999993</v>
      </c>
      <c r="M855" s="9">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_xlfn.XLOOKUP(orders!C856,customers!$A$1:$A$1001,customers!$G$1:$G$1001,,0)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8">
        <f>INDEX(products!$A$1:$G$49,MATCH(orders!$D856,products!$A$1:$A$49,0),MATCH(orders!L$1,products!$A$1:$G$1,0))</f>
        <v>7.169999999999999</v>
      </c>
      <c r="M856" s="9">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_xlfn.XLOOKUP(orders!C857,customers!$A$1:$A$1001,customers!$G$1:$G$1001,,0)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8">
        <f>INDEX(products!$A$1:$G$49,MATCH(orders!$D857,products!$A$1:$A$49,0),MATCH(orders!L$1,products!$A$1:$G$1,0))</f>
        <v>29.784999999999997</v>
      </c>
      <c r="M857" s="9">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_xlfn.XLOOKUP(orders!C858,customers!$A$1:$A$1001,customers!$G$1:$G$1001,,0)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8">
        <f>INDEX(products!$A$1:$G$49,MATCH(orders!$D858,products!$A$1:$A$49,0),MATCH(orders!L$1,products!$A$1:$G$1,0))</f>
        <v>4.3650000000000002</v>
      </c>
      <c r="M858" s="9">
        <f t="shared" si="39"/>
        <v>8.73</v>
      </c>
      <c r="N858" t="str">
        <f t="shared" si="40"/>
        <v>Liberica</v>
      </c>
      <c r="O858" t="str">
        <f t="shared" si="41"/>
        <v>Mediium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_xlfn.XLOOKUP(orders!C859,customers!$A$1:$A$1001,customers!$G$1:$G$1001,,0)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8">
        <f>INDEX(products!$A$1:$G$49,MATCH(orders!$D859,products!$A$1:$A$49,0),MATCH(orders!L$1,products!$A$1:$G$1,0))</f>
        <v>27.484999999999996</v>
      </c>
      <c r="M859" s="9">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_xlfn.XLOOKUP(orders!C860,customers!$A$1:$A$1001,customers!$G$1:$G$1001,,0)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8">
        <f>INDEX(products!$A$1:$G$49,MATCH(orders!$D860,products!$A$1:$A$49,0),MATCH(orders!L$1,products!$A$1:$G$1,0))</f>
        <v>8.73</v>
      </c>
      <c r="M860" s="9">
        <f t="shared" si="39"/>
        <v>34.92</v>
      </c>
      <c r="N860" t="str">
        <f t="shared" si="40"/>
        <v>Liberica</v>
      </c>
      <c r="O860" t="str">
        <f t="shared" si="41"/>
        <v>Mediium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_xlfn.XLOOKUP(orders!C861,customers!$A$1:$A$1001,customers!$G$1:$G$1001,,0)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8">
        <f>INDEX(products!$A$1:$G$49,MATCH(orders!$D861,products!$A$1:$A$49,0),MATCH(orders!L$1,products!$A$1:$G$1,0))</f>
        <v>29.784999999999997</v>
      </c>
      <c r="M861" s="9">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_xlfn.XLOOKUP(orders!C862,customers!$A$1:$A$1001,customers!$G$1:$G$1001,,0)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8">
        <f>INDEX(products!$A$1:$G$49,MATCH(orders!$D862,products!$A$1:$A$49,0),MATCH(orders!L$1,products!$A$1:$G$1,0))</f>
        <v>25.874999999999996</v>
      </c>
      <c r="M862" s="9">
        <f t="shared" si="39"/>
        <v>25.874999999999996</v>
      </c>
      <c r="N862" t="str">
        <f t="shared" si="40"/>
        <v>Arabica</v>
      </c>
      <c r="O862" t="str">
        <f t="shared" si="41"/>
        <v>Mediium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_xlfn.XLOOKUP(orders!C863,customers!$A$1:$A$1001,customers!$G$1:$G$1001,,0)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8">
        <f>INDEX(products!$A$1:$G$49,MATCH(orders!$D863,products!$A$1:$A$49,0),MATCH(orders!L$1,products!$A$1:$G$1,0))</f>
        <v>12.95</v>
      </c>
      <c r="M863" s="9">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_xlfn.XLOOKUP(orders!C864,customers!$A$1:$A$1001,customers!$G$1:$G$1001,,0)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8">
        <f>INDEX(products!$A$1:$G$49,MATCH(orders!$D864,products!$A$1:$A$49,0),MATCH(orders!L$1,products!$A$1:$G$1,0))</f>
        <v>9.9499999999999993</v>
      </c>
      <c r="M864" s="9">
        <f t="shared" si="39"/>
        <v>9.9499999999999993</v>
      </c>
      <c r="N864" t="str">
        <f t="shared" si="40"/>
        <v>Robusta</v>
      </c>
      <c r="O864" t="str">
        <f t="shared" si="41"/>
        <v>Mediium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_xlfn.XLOOKUP(orders!C865,customers!$A$1:$A$1001,customers!$G$1:$G$1001,,0)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8">
        <f>INDEX(products!$A$1:$G$49,MATCH(orders!$D865,products!$A$1:$A$49,0),MATCH(orders!L$1,products!$A$1:$G$1,0))</f>
        <v>14.55</v>
      </c>
      <c r="M865" s="9">
        <f t="shared" si="39"/>
        <v>29.1</v>
      </c>
      <c r="N865" t="str">
        <f t="shared" si="40"/>
        <v>Liberica</v>
      </c>
      <c r="O865" t="str">
        <f t="shared" si="41"/>
        <v>Mediium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_xlfn.XLOOKUP(orders!C866,customers!$A$1:$A$1001,customers!$G$1:$G$1001,,0)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8">
        <f>INDEX(products!$A$1:$G$49,MATCH(orders!$D866,products!$A$1:$A$49,0),MATCH(orders!L$1,products!$A$1:$G$1,0))</f>
        <v>3.5849999999999995</v>
      </c>
      <c r="M866" s="9">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_xlfn.XLOOKUP(orders!C867,customers!$A$1:$A$1001,customers!$G$1:$G$1001,,0)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8">
        <f>INDEX(products!$A$1:$G$49,MATCH(orders!$D867,products!$A$1:$A$49,0),MATCH(orders!L$1,products!$A$1:$G$1,0))</f>
        <v>6.75</v>
      </c>
      <c r="M867" s="9">
        <f t="shared" si="39"/>
        <v>6.75</v>
      </c>
      <c r="N867" t="str">
        <f t="shared" si="40"/>
        <v>Arabica</v>
      </c>
      <c r="O867" t="str">
        <f t="shared" si="41"/>
        <v>Mediium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_xlfn.XLOOKUP(orders!C868,customers!$A$1:$A$1001,customers!$G$1:$G$1001,,0)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8">
        <f>INDEX(products!$A$1:$G$49,MATCH(orders!$D868,products!$A$1:$A$49,0),MATCH(orders!L$1,products!$A$1:$G$1,0))</f>
        <v>5.97</v>
      </c>
      <c r="M868" s="9">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_xlfn.XLOOKUP(orders!C869,customers!$A$1:$A$1001,customers!$G$1:$G$1001,,0)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8">
        <f>INDEX(products!$A$1:$G$49,MATCH(orders!$D869,products!$A$1:$A$49,0),MATCH(orders!L$1,products!$A$1:$G$1,0))</f>
        <v>29.784999999999997</v>
      </c>
      <c r="M869" s="9">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_xlfn.XLOOKUP(orders!C870,customers!$A$1:$A$1001,customers!$G$1:$G$1001,,0)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8">
        <f>INDEX(products!$A$1:$G$49,MATCH(orders!$D870,products!$A$1:$A$49,0),MATCH(orders!L$1,products!$A$1:$G$1,0))</f>
        <v>8.25</v>
      </c>
      <c r="M870" s="9">
        <f t="shared" si="39"/>
        <v>41.25</v>
      </c>
      <c r="N870" t="str">
        <f t="shared" si="40"/>
        <v>Excelsa</v>
      </c>
      <c r="O870" t="str">
        <f t="shared" si="41"/>
        <v>Mediium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_xlfn.XLOOKUP(orders!C871,customers!$A$1:$A$1001,customers!$G$1:$G$1001,,0)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8">
        <f>INDEX(products!$A$1:$G$49,MATCH(orders!$D871,products!$A$1:$A$49,0),MATCH(orders!L$1,products!$A$1:$G$1,0))</f>
        <v>5.97</v>
      </c>
      <c r="M871" s="9">
        <f t="shared" si="39"/>
        <v>17.91</v>
      </c>
      <c r="N871" t="str">
        <f t="shared" si="40"/>
        <v>Robusta</v>
      </c>
      <c r="O871" t="str">
        <f t="shared" si="41"/>
        <v>Mediium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_xlfn.XLOOKUP(orders!C872,customers!$A$1:$A$1001,customers!$G$1:$G$1001,,0)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8">
        <f>INDEX(products!$A$1:$G$49,MATCH(orders!$D872,products!$A$1:$A$49,0),MATCH(orders!L$1,products!$A$1:$G$1,0))</f>
        <v>7.29</v>
      </c>
      <c r="M872" s="9">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_xlfn.XLOOKUP(orders!C873,customers!$A$1:$A$1001,customers!$G$1:$G$1001,,0)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8">
        <f>INDEX(products!$A$1:$G$49,MATCH(orders!$D873,products!$A$1:$A$49,0),MATCH(orders!L$1,products!$A$1:$G$1,0))</f>
        <v>14.85</v>
      </c>
      <c r="M873" s="9">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_xlfn.XLOOKUP(orders!C874,customers!$A$1:$A$1001,customers!$G$1:$G$1001,,0)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8">
        <f>INDEX(products!$A$1:$G$49,MATCH(orders!$D874,products!$A$1:$A$49,0),MATCH(orders!L$1,products!$A$1:$G$1,0))</f>
        <v>11.25</v>
      </c>
      <c r="M874" s="9">
        <f t="shared" si="39"/>
        <v>22.5</v>
      </c>
      <c r="N874" t="str">
        <f t="shared" si="40"/>
        <v>Arabica</v>
      </c>
      <c r="O874" t="str">
        <f t="shared" si="41"/>
        <v>Mediium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_xlfn.XLOOKUP(orders!C875,customers!$A$1:$A$1001,customers!$G$1:$G$1001,,0)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8">
        <f>INDEX(products!$A$1:$G$49,MATCH(orders!$D875,products!$A$1:$A$49,0),MATCH(orders!L$1,products!$A$1:$G$1,0))</f>
        <v>2.9849999999999999</v>
      </c>
      <c r="M875" s="9">
        <f t="shared" si="39"/>
        <v>11.94</v>
      </c>
      <c r="N875" t="str">
        <f t="shared" si="40"/>
        <v>Robusta</v>
      </c>
      <c r="O875" t="str">
        <f t="shared" si="41"/>
        <v>Mediium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_xlfn.XLOOKUP(orders!C876,customers!$A$1:$A$1001,customers!$G$1:$G$1001,,0)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8">
        <f>INDEX(products!$A$1:$G$49,MATCH(orders!$D876,products!$A$1:$A$49,0),MATCH(orders!L$1,products!$A$1:$G$1,0))</f>
        <v>12.95</v>
      </c>
      <c r="M876" s="9">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_xlfn.XLOOKUP(orders!C877,customers!$A$1:$A$1001,customers!$G$1:$G$1001,,0)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8">
        <f>INDEX(products!$A$1:$G$49,MATCH(orders!$D877,products!$A$1:$A$49,0),MATCH(orders!L$1,products!$A$1:$G$1,0))</f>
        <v>8.73</v>
      </c>
      <c r="M877" s="9">
        <f t="shared" si="39"/>
        <v>43.650000000000006</v>
      </c>
      <c r="N877" t="str">
        <f t="shared" si="40"/>
        <v>Liberica</v>
      </c>
      <c r="O877" t="str">
        <f t="shared" si="41"/>
        <v>Mediium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_xlfn.XLOOKUP(orders!C878,customers!$A$1:$A$1001,customers!$G$1:$G$1001,,0)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8">
        <f>INDEX(products!$A$1:$G$49,MATCH(orders!$D878,products!$A$1:$A$49,0),MATCH(orders!L$1,products!$A$1:$G$1,0))</f>
        <v>7.77</v>
      </c>
      <c r="M878" s="9">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_xlfn.XLOOKUP(orders!C879,customers!$A$1:$A$1001,customers!$G$1:$G$1001,,0)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8">
        <f>INDEX(products!$A$1:$G$49,MATCH(orders!$D879,products!$A$1:$A$49,0),MATCH(orders!L$1,products!$A$1:$G$1,0))</f>
        <v>9.51</v>
      </c>
      <c r="M879" s="9">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_xlfn.XLOOKUP(orders!C880,customers!$A$1:$A$1001,customers!$G$1:$G$1001,,0)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8">
        <f>INDEX(products!$A$1:$G$49,MATCH(orders!$D880,products!$A$1:$A$49,0),MATCH(orders!L$1,products!$A$1:$G$1,0))</f>
        <v>27.484999999999996</v>
      </c>
      <c r="M880" s="9">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_xlfn.XLOOKUP(orders!C881,customers!$A$1:$A$1001,customers!$G$1:$G$1001,,0)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8">
        <f>INDEX(products!$A$1:$G$49,MATCH(orders!$D881,products!$A$1:$A$49,0),MATCH(orders!L$1,products!$A$1:$G$1,0))</f>
        <v>3.645</v>
      </c>
      <c r="M881" s="9">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_xlfn.XLOOKUP(orders!C882,customers!$A$1:$A$1001,customers!$G$1:$G$1001,,0)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8">
        <f>INDEX(products!$A$1:$G$49,MATCH(orders!$D882,products!$A$1:$A$49,0),MATCH(orders!L$1,products!$A$1:$G$1,0))</f>
        <v>3.5849999999999995</v>
      </c>
      <c r="M882" s="9">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_xlfn.XLOOKUP(orders!C883,customers!$A$1:$A$1001,customers!$G$1:$G$1001,,0)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8">
        <f>INDEX(products!$A$1:$G$49,MATCH(orders!$D883,products!$A$1:$A$49,0),MATCH(orders!L$1,products!$A$1:$G$1,0))</f>
        <v>3.8849999999999998</v>
      </c>
      <c r="M883" s="9">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_xlfn.XLOOKUP(orders!C884,customers!$A$1:$A$1001,customers!$G$1:$G$1001,,0)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8">
        <f>INDEX(products!$A$1:$G$49,MATCH(orders!$D884,products!$A$1:$A$49,0),MATCH(orders!L$1,products!$A$1:$G$1,0))</f>
        <v>22.884999999999998</v>
      </c>
      <c r="M884" s="9">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_xlfn.XLOOKUP(orders!C885,customers!$A$1:$A$1001,customers!$G$1:$G$1001,,0)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8">
        <f>INDEX(products!$A$1:$G$49,MATCH(orders!$D885,products!$A$1:$A$49,0),MATCH(orders!L$1,products!$A$1:$G$1,0))</f>
        <v>25.874999999999996</v>
      </c>
      <c r="M885" s="9">
        <f t="shared" si="39"/>
        <v>77.624999999999986</v>
      </c>
      <c r="N885" t="str">
        <f t="shared" si="40"/>
        <v>Arabica</v>
      </c>
      <c r="O885" t="str">
        <f t="shared" si="41"/>
        <v>Mediium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_xlfn.XLOOKUP(orders!C886,customers!$A$1:$A$1001,customers!$G$1:$G$1001,,0)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8">
        <f>INDEX(products!$A$1:$G$49,MATCH(orders!$D886,products!$A$1:$A$49,0),MATCH(orders!L$1,products!$A$1:$G$1,0))</f>
        <v>5.3699999999999992</v>
      </c>
      <c r="M886" s="9">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_xlfn.XLOOKUP(orders!C887,customers!$A$1:$A$1001,customers!$G$1:$G$1001,,0)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8">
        <f>INDEX(products!$A$1:$G$49,MATCH(orders!$D887,products!$A$1:$A$49,0),MATCH(orders!L$1,products!$A$1:$G$1,0))</f>
        <v>20.584999999999997</v>
      </c>
      <c r="M887" s="9">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_xlfn.XLOOKUP(orders!C888,customers!$A$1:$A$1001,customers!$G$1:$G$1001,,0)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8">
        <f>INDEX(products!$A$1:$G$49,MATCH(orders!$D888,products!$A$1:$A$49,0),MATCH(orders!L$1,products!$A$1:$G$1,0))</f>
        <v>8.73</v>
      </c>
      <c r="M888" s="9">
        <f t="shared" si="39"/>
        <v>17.46</v>
      </c>
      <c r="N888" t="str">
        <f t="shared" si="40"/>
        <v>Liberica</v>
      </c>
      <c r="O888" t="str">
        <f t="shared" si="41"/>
        <v>Mediium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_xlfn.XLOOKUP(orders!C889,customers!$A$1:$A$1001,customers!$G$1:$G$1001,,0)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8">
        <f>INDEX(products!$A$1:$G$49,MATCH(orders!$D889,products!$A$1:$A$49,0),MATCH(orders!L$1,products!$A$1:$G$1,0))</f>
        <v>4.4550000000000001</v>
      </c>
      <c r="M889" s="9">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_xlfn.XLOOKUP(orders!C890,customers!$A$1:$A$1001,customers!$G$1:$G$1001,,0)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8">
        <f>INDEX(products!$A$1:$G$49,MATCH(orders!$D890,products!$A$1:$A$49,0),MATCH(orders!L$1,products!$A$1:$G$1,0))</f>
        <v>3.8849999999999998</v>
      </c>
      <c r="M890" s="9">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_xlfn.XLOOKUP(orders!C891,customers!$A$1:$A$1001,customers!$G$1:$G$1001,,0)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8">
        <f>INDEX(products!$A$1:$G$49,MATCH(orders!$D891,products!$A$1:$A$49,0),MATCH(orders!L$1,products!$A$1:$G$1,0))</f>
        <v>2.6849999999999996</v>
      </c>
      <c r="M891" s="9">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_xlfn.XLOOKUP(orders!C892,customers!$A$1:$A$1001,customers!$G$1:$G$1001,,0)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8">
        <f>INDEX(products!$A$1:$G$49,MATCH(orders!$D892,products!$A$1:$A$49,0),MATCH(orders!L$1,products!$A$1:$G$1,0))</f>
        <v>20.584999999999997</v>
      </c>
      <c r="M892" s="9">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_xlfn.XLOOKUP(orders!C893,customers!$A$1:$A$1001,customers!$G$1:$G$1001,,0)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8">
        <f>INDEX(products!$A$1:$G$49,MATCH(orders!$D893,products!$A$1:$A$49,0),MATCH(orders!L$1,products!$A$1:$G$1,0))</f>
        <v>22.884999999999998</v>
      </c>
      <c r="M893" s="9">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_xlfn.XLOOKUP(orders!C894,customers!$A$1:$A$1001,customers!$G$1:$G$1001,,0)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8">
        <f>INDEX(products!$A$1:$G$49,MATCH(orders!$D894,products!$A$1:$A$49,0),MATCH(orders!L$1,products!$A$1:$G$1,0))</f>
        <v>4.125</v>
      </c>
      <c r="M894" s="9">
        <f t="shared" si="39"/>
        <v>20.625</v>
      </c>
      <c r="N894" t="str">
        <f t="shared" si="40"/>
        <v>Excelsa</v>
      </c>
      <c r="O894" t="str">
        <f t="shared" si="41"/>
        <v>Mediium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_xlfn.XLOOKUP(orders!C895,customers!$A$1:$A$1001,customers!$G$1:$G$1001,,0)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8">
        <f>INDEX(products!$A$1:$G$49,MATCH(orders!$D895,products!$A$1:$A$49,0),MATCH(orders!L$1,products!$A$1:$G$1,0))</f>
        <v>9.51</v>
      </c>
      <c r="M895" s="9">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_xlfn.XLOOKUP(orders!C896,customers!$A$1:$A$1001,customers!$G$1:$G$1001,,0)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8">
        <f>INDEX(products!$A$1:$G$49,MATCH(orders!$D896,products!$A$1:$A$49,0),MATCH(orders!L$1,products!$A$1:$G$1,0))</f>
        <v>20.584999999999997</v>
      </c>
      <c r="M896" s="9">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_xlfn.XLOOKUP(orders!C897,customers!$A$1:$A$1001,customers!$G$1:$G$1001,,0)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8">
        <f>INDEX(products!$A$1:$G$49,MATCH(orders!$D897,products!$A$1:$A$49,0),MATCH(orders!L$1,products!$A$1:$G$1,0))</f>
        <v>31.624999999999996</v>
      </c>
      <c r="M897" s="9">
        <f t="shared" si="39"/>
        <v>158.12499999999997</v>
      </c>
      <c r="N897" t="str">
        <f t="shared" si="40"/>
        <v>Excelsa</v>
      </c>
      <c r="O897" t="str">
        <f t="shared" si="41"/>
        <v>Mediium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_xlfn.XLOOKUP(orders!C898,customers!$A$1:$A$1001,customers!$G$1:$G$1001,,0)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8">
        <f>INDEX(products!$A$1:$G$49,MATCH(orders!$D898,products!$A$1:$A$49,0),MATCH(orders!L$1,products!$A$1:$G$1,0))</f>
        <v>5.3699999999999992</v>
      </c>
      <c r="M898" s="9">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_xlfn.XLOOKUP(orders!C899,customers!$A$1:$A$1001,customers!$G$1:$G$1001,,0)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8">
        <f>INDEX(products!$A$1:$G$49,MATCH(orders!$D899,products!$A$1:$A$49,0),MATCH(orders!L$1,products!$A$1:$G$1,0))</f>
        <v>12.15</v>
      </c>
      <c r="M899" s="9">
        <f t="shared" ref="M899:M962" si="42">L899*E899</f>
        <v>24.3</v>
      </c>
      <c r="N899" t="str">
        <f t="shared" ref="N899:N962" si="43">IF(I899="Rob","Robusta",IF(I899="exc","Excelsa",IF(I899="ara","Arabica",IF(I899="Lib","Liberica",""))))</f>
        <v>Excelsa</v>
      </c>
      <c r="O899" t="str">
        <f t="shared" ref="O899:O962" si="44">IF(J899="m","Mediium",IF(J899="l","Light",IF(J899="d","Dark","")))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_xlfn.XLOOKUP(orders!C900,customers!$A$1:$A$1001,customers!$G$1:$G$1001,,0)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8">
        <f>INDEX(products!$A$1:$G$49,MATCH(orders!$D900,products!$A$1:$A$49,0),MATCH(orders!L$1,products!$A$1:$G$1,0))</f>
        <v>7.169999999999999</v>
      </c>
      <c r="M900" s="9">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_xlfn.XLOOKUP(orders!C901,customers!$A$1:$A$1001,customers!$G$1:$G$1001,,0)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8">
        <f>INDEX(products!$A$1:$G$49,MATCH(orders!$D901,products!$A$1:$A$49,0),MATCH(orders!L$1,products!$A$1:$G$1,0))</f>
        <v>14.55</v>
      </c>
      <c r="M901" s="9">
        <f t="shared" si="42"/>
        <v>72.75</v>
      </c>
      <c r="N901" t="str">
        <f t="shared" si="43"/>
        <v>Liberica</v>
      </c>
      <c r="O901" t="str">
        <f t="shared" si="44"/>
        <v>Mediium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_xlfn.XLOOKUP(orders!C902,customers!$A$1:$A$1001,customers!$G$1:$G$1001,,0)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8">
        <f>INDEX(products!$A$1:$G$49,MATCH(orders!$D902,products!$A$1:$A$49,0),MATCH(orders!L$1,products!$A$1:$G$1,0))</f>
        <v>15.85</v>
      </c>
      <c r="M902" s="9">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_xlfn.XLOOKUP(orders!C903,customers!$A$1:$A$1001,customers!$G$1:$G$1001,,0)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8">
        <f>INDEX(products!$A$1:$G$49,MATCH(orders!$D903,products!$A$1:$A$49,0),MATCH(orders!L$1,products!$A$1:$G$1,0))</f>
        <v>3.5849999999999995</v>
      </c>
      <c r="M903" s="9">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_xlfn.XLOOKUP(orders!C904,customers!$A$1:$A$1001,customers!$G$1:$G$1001,,0)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8">
        <f>INDEX(products!$A$1:$G$49,MATCH(orders!$D904,products!$A$1:$A$49,0),MATCH(orders!L$1,products!$A$1:$G$1,0))</f>
        <v>31.624999999999996</v>
      </c>
      <c r="M904" s="9">
        <f t="shared" si="42"/>
        <v>158.12499999999997</v>
      </c>
      <c r="N904" t="str">
        <f t="shared" si="43"/>
        <v>Excelsa</v>
      </c>
      <c r="O904" t="str">
        <f t="shared" si="44"/>
        <v>Mediium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_xlfn.XLOOKUP(orders!C905,customers!$A$1:$A$1001,customers!$G$1:$G$1001,,0)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8">
        <f>INDEX(products!$A$1:$G$49,MATCH(orders!$D905,products!$A$1:$A$49,0),MATCH(orders!L$1,products!$A$1:$G$1,0))</f>
        <v>8.73</v>
      </c>
      <c r="M905" s="9">
        <f t="shared" si="42"/>
        <v>17.46</v>
      </c>
      <c r="N905" t="str">
        <f t="shared" si="43"/>
        <v>Liberica</v>
      </c>
      <c r="O905" t="str">
        <f t="shared" si="44"/>
        <v>Mediium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_xlfn.XLOOKUP(orders!C906,customers!$A$1:$A$1001,customers!$G$1:$G$1001,,0)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8">
        <f>INDEX(products!$A$1:$G$49,MATCH(orders!$D906,products!$A$1:$A$49,0),MATCH(orders!L$1,products!$A$1:$G$1,0))</f>
        <v>29.784999999999997</v>
      </c>
      <c r="M906" s="9">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_xlfn.XLOOKUP(orders!C907,customers!$A$1:$A$1001,customers!$G$1:$G$1001,,0)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8">
        <f>INDEX(products!$A$1:$G$49,MATCH(orders!$D907,products!$A$1:$A$49,0),MATCH(orders!L$1,products!$A$1:$G$1,0))</f>
        <v>6.75</v>
      </c>
      <c r="M907" s="9">
        <f t="shared" si="42"/>
        <v>40.5</v>
      </c>
      <c r="N907" t="str">
        <f t="shared" si="43"/>
        <v>Arabica</v>
      </c>
      <c r="O907" t="str">
        <f t="shared" si="44"/>
        <v>Mediium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_xlfn.XLOOKUP(orders!C908,customers!$A$1:$A$1001,customers!$G$1:$G$1001,,0)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8">
        <f>INDEX(products!$A$1:$G$49,MATCH(orders!$D908,products!$A$1:$A$49,0),MATCH(orders!L$1,products!$A$1:$G$1,0))</f>
        <v>6.75</v>
      </c>
      <c r="M908" s="9">
        <f t="shared" si="42"/>
        <v>27</v>
      </c>
      <c r="N908" t="str">
        <f t="shared" si="43"/>
        <v>Arabica</v>
      </c>
      <c r="O908" t="str">
        <f t="shared" si="44"/>
        <v>Mediium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_xlfn.XLOOKUP(orders!C909,customers!$A$1:$A$1001,customers!$G$1:$G$1001,,0)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8">
        <f>INDEX(products!$A$1:$G$49,MATCH(orders!$D909,products!$A$1:$A$49,0),MATCH(orders!L$1,products!$A$1:$G$1,0))</f>
        <v>12.95</v>
      </c>
      <c r="M909" s="9">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_xlfn.XLOOKUP(orders!C910,customers!$A$1:$A$1001,customers!$G$1:$G$1001,,0)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8">
        <f>INDEX(products!$A$1:$G$49,MATCH(orders!$D910,products!$A$1:$A$49,0),MATCH(orders!L$1,products!$A$1:$G$1,0))</f>
        <v>11.95</v>
      </c>
      <c r="M910" s="9">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_xlfn.XLOOKUP(orders!C911,customers!$A$1:$A$1001,customers!$G$1:$G$1001,,0)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8">
        <f>INDEX(products!$A$1:$G$49,MATCH(orders!$D911,products!$A$1:$A$49,0),MATCH(orders!L$1,products!$A$1:$G$1,0))</f>
        <v>3.5849999999999995</v>
      </c>
      <c r="M911" s="9">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_xlfn.XLOOKUP(orders!C912,customers!$A$1:$A$1001,customers!$G$1:$G$1001,,0)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8">
        <f>INDEX(products!$A$1:$G$49,MATCH(orders!$D912,products!$A$1:$A$49,0),MATCH(orders!L$1,products!$A$1:$G$1,0))</f>
        <v>22.884999999999998</v>
      </c>
      <c r="M912" s="9">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_xlfn.XLOOKUP(orders!C913,customers!$A$1:$A$1001,customers!$G$1:$G$1001,,0)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8">
        <f>INDEX(products!$A$1:$G$49,MATCH(orders!$D913,products!$A$1:$A$49,0),MATCH(orders!L$1,products!$A$1:$G$1,0))</f>
        <v>11.25</v>
      </c>
      <c r="M913" s="9">
        <f t="shared" si="42"/>
        <v>45</v>
      </c>
      <c r="N913" t="str">
        <f t="shared" si="43"/>
        <v>Arabica</v>
      </c>
      <c r="O913" t="str">
        <f t="shared" si="44"/>
        <v>Mediium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_xlfn.XLOOKUP(orders!C914,customers!$A$1:$A$1001,customers!$G$1:$G$1001,,0)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8">
        <f>INDEX(products!$A$1:$G$49,MATCH(orders!$D914,products!$A$1:$A$49,0),MATCH(orders!L$1,products!$A$1:$G$1,0))</f>
        <v>22.884999999999998</v>
      </c>
      <c r="M914" s="9">
        <f t="shared" si="42"/>
        <v>137.31</v>
      </c>
      <c r="N914" t="str">
        <f t="shared" si="43"/>
        <v>Robusta</v>
      </c>
      <c r="O914" t="str">
        <f t="shared" si="44"/>
        <v>Mediium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_xlfn.XLOOKUP(orders!C915,customers!$A$1:$A$1001,customers!$G$1:$G$1001,,0)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8">
        <f>INDEX(products!$A$1:$G$49,MATCH(orders!$D915,products!$A$1:$A$49,0),MATCH(orders!L$1,products!$A$1:$G$1,0))</f>
        <v>6.75</v>
      </c>
      <c r="M915" s="9">
        <f t="shared" si="42"/>
        <v>6.75</v>
      </c>
      <c r="N915" t="str">
        <f t="shared" si="43"/>
        <v>Arabica</v>
      </c>
      <c r="O915" t="str">
        <f t="shared" si="44"/>
        <v>Mediium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_xlfn.XLOOKUP(orders!C916,customers!$A$1:$A$1001,customers!$G$1:$G$1001,,0)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8">
        <f>INDEX(products!$A$1:$G$49,MATCH(orders!$D916,products!$A$1:$A$49,0),MATCH(orders!L$1,products!$A$1:$G$1,0))</f>
        <v>11.25</v>
      </c>
      <c r="M916" s="9">
        <f t="shared" si="42"/>
        <v>45</v>
      </c>
      <c r="N916" t="str">
        <f t="shared" si="43"/>
        <v>Arabica</v>
      </c>
      <c r="O916" t="str">
        <f t="shared" si="44"/>
        <v>Mediium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_xlfn.XLOOKUP(orders!C917,customers!$A$1:$A$1001,customers!$G$1:$G$1001,,0)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8">
        <f>INDEX(products!$A$1:$G$49,MATCH(orders!$D917,products!$A$1:$A$49,0),MATCH(orders!L$1,products!$A$1:$G$1,0))</f>
        <v>27.945</v>
      </c>
      <c r="M917" s="9">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_xlfn.XLOOKUP(orders!C918,customers!$A$1:$A$1001,customers!$G$1:$G$1001,,0)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8">
        <f>INDEX(products!$A$1:$G$49,MATCH(orders!$D918,products!$A$1:$A$49,0),MATCH(orders!L$1,products!$A$1:$G$1,0))</f>
        <v>3.645</v>
      </c>
      <c r="M918" s="9">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_xlfn.XLOOKUP(orders!C919,customers!$A$1:$A$1001,customers!$G$1:$G$1001,,0)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8">
        <f>INDEX(products!$A$1:$G$49,MATCH(orders!$D919,products!$A$1:$A$49,0),MATCH(orders!L$1,products!$A$1:$G$1,0))</f>
        <v>6.75</v>
      </c>
      <c r="M919" s="9">
        <f t="shared" si="42"/>
        <v>6.75</v>
      </c>
      <c r="N919" t="str">
        <f t="shared" si="43"/>
        <v>Arabica</v>
      </c>
      <c r="O919" t="str">
        <f t="shared" si="44"/>
        <v>Mediium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_xlfn.XLOOKUP(orders!C920,customers!$A$1:$A$1001,customers!$G$1:$G$1001,,0)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8">
        <f>INDEX(products!$A$1:$G$49,MATCH(orders!$D920,products!$A$1:$A$49,0),MATCH(orders!L$1,products!$A$1:$G$1,0))</f>
        <v>7.29</v>
      </c>
      <c r="M920" s="9">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_xlfn.XLOOKUP(orders!C921,customers!$A$1:$A$1001,customers!$G$1:$G$1001,,0)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8">
        <f>INDEX(products!$A$1:$G$49,MATCH(orders!$D921,products!$A$1:$A$49,0),MATCH(orders!L$1,products!$A$1:$G$1,0))</f>
        <v>2.6849999999999996</v>
      </c>
      <c r="M921" s="9">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_xlfn.XLOOKUP(orders!C922,customers!$A$1:$A$1001,customers!$G$1:$G$1001,,0)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8">
        <f>INDEX(products!$A$1:$G$49,MATCH(orders!$D922,products!$A$1:$A$49,0),MATCH(orders!L$1,products!$A$1:$G$1,0))</f>
        <v>20.584999999999997</v>
      </c>
      <c r="M922" s="9">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_xlfn.XLOOKUP(orders!C923,customers!$A$1:$A$1001,customers!$G$1:$G$1001,,0)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8">
        <f>INDEX(products!$A$1:$G$49,MATCH(orders!$D923,products!$A$1:$A$49,0),MATCH(orders!L$1,products!$A$1:$G$1,0))</f>
        <v>3.8849999999999998</v>
      </c>
      <c r="M923" s="9">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_xlfn.XLOOKUP(orders!C924,customers!$A$1:$A$1001,customers!$G$1:$G$1001,,0)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8">
        <f>INDEX(products!$A$1:$G$49,MATCH(orders!$D924,products!$A$1:$A$49,0),MATCH(orders!L$1,products!$A$1:$G$1,0))</f>
        <v>11.25</v>
      </c>
      <c r="M924" s="9">
        <f t="shared" si="42"/>
        <v>67.5</v>
      </c>
      <c r="N924" t="str">
        <f t="shared" si="43"/>
        <v>Arabica</v>
      </c>
      <c r="O924" t="str">
        <f t="shared" si="44"/>
        <v>Mediium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_xlfn.XLOOKUP(orders!C925,customers!$A$1:$A$1001,customers!$G$1:$G$1001,,0)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8">
        <f>INDEX(products!$A$1:$G$49,MATCH(orders!$D925,products!$A$1:$A$49,0),MATCH(orders!L$1,products!$A$1:$G$1,0))</f>
        <v>27.945</v>
      </c>
      <c r="M925" s="9">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_xlfn.XLOOKUP(orders!C926,customers!$A$1:$A$1001,customers!$G$1:$G$1001,,0)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8">
        <f>INDEX(products!$A$1:$G$49,MATCH(orders!$D926,products!$A$1:$A$49,0),MATCH(orders!L$1,products!$A$1:$G$1,0))</f>
        <v>29.784999999999997</v>
      </c>
      <c r="M926" s="9">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_xlfn.XLOOKUP(orders!C927,customers!$A$1:$A$1001,customers!$G$1:$G$1001,,0)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8">
        <f>INDEX(products!$A$1:$G$49,MATCH(orders!$D927,products!$A$1:$A$49,0),MATCH(orders!L$1,products!$A$1:$G$1,0))</f>
        <v>6.75</v>
      </c>
      <c r="M927" s="9">
        <f t="shared" si="42"/>
        <v>20.25</v>
      </c>
      <c r="N927" t="str">
        <f t="shared" si="43"/>
        <v>Arabica</v>
      </c>
      <c r="O927" t="str">
        <f t="shared" si="44"/>
        <v>Mediium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_xlfn.XLOOKUP(orders!C928,customers!$A$1:$A$1001,customers!$G$1:$G$1001,,0)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8">
        <f>INDEX(products!$A$1:$G$49,MATCH(orders!$D928,products!$A$1:$A$49,0),MATCH(orders!L$1,products!$A$1:$G$1,0))</f>
        <v>6.75</v>
      </c>
      <c r="M928" s="9">
        <f t="shared" si="42"/>
        <v>33.75</v>
      </c>
      <c r="N928" t="str">
        <f t="shared" si="43"/>
        <v>Arabica</v>
      </c>
      <c r="O928" t="str">
        <f t="shared" si="44"/>
        <v>Mediium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_xlfn.XLOOKUP(orders!C929,customers!$A$1:$A$1001,customers!$G$1:$G$1001,,0)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8">
        <f>INDEX(products!$A$1:$G$49,MATCH(orders!$D929,products!$A$1:$A$49,0),MATCH(orders!L$1,products!$A$1:$G$1,0))</f>
        <v>27.945</v>
      </c>
      <c r="M929" s="9">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_xlfn.XLOOKUP(orders!C930,customers!$A$1:$A$1001,customers!$G$1:$G$1001,,0)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8">
        <f>INDEX(products!$A$1:$G$49,MATCH(orders!$D930,products!$A$1:$A$49,0),MATCH(orders!L$1,products!$A$1:$G$1,0))</f>
        <v>31.624999999999996</v>
      </c>
      <c r="M930" s="9">
        <f t="shared" si="42"/>
        <v>63.249999999999993</v>
      </c>
      <c r="N930" t="str">
        <f t="shared" si="43"/>
        <v>Excelsa</v>
      </c>
      <c r="O930" t="str">
        <f t="shared" si="44"/>
        <v>Mediium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_xlfn.XLOOKUP(orders!C931,customers!$A$1:$A$1001,customers!$G$1:$G$1001,,0)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8">
        <f>INDEX(products!$A$1:$G$49,MATCH(orders!$D931,products!$A$1:$A$49,0),MATCH(orders!L$1,products!$A$1:$G$1,0))</f>
        <v>4.4550000000000001</v>
      </c>
      <c r="M931" s="9">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_xlfn.XLOOKUP(orders!C932,customers!$A$1:$A$1001,customers!$G$1:$G$1001,,0)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8">
        <f>INDEX(products!$A$1:$G$49,MATCH(orders!$D932,products!$A$1:$A$49,0),MATCH(orders!L$1,products!$A$1:$G$1,0))</f>
        <v>12.15</v>
      </c>
      <c r="M932" s="9">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_xlfn.XLOOKUP(orders!C933,customers!$A$1:$A$1001,customers!$G$1:$G$1001,,0)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8">
        <f>INDEX(products!$A$1:$G$49,MATCH(orders!$D933,products!$A$1:$A$49,0),MATCH(orders!L$1,products!$A$1:$G$1,0))</f>
        <v>5.97</v>
      </c>
      <c r="M933" s="9">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_xlfn.XLOOKUP(orders!C934,customers!$A$1:$A$1001,customers!$G$1:$G$1001,,0)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8">
        <f>INDEX(products!$A$1:$G$49,MATCH(orders!$D934,products!$A$1:$A$49,0),MATCH(orders!L$1,products!$A$1:$G$1,0))</f>
        <v>13.75</v>
      </c>
      <c r="M934" s="9">
        <f t="shared" si="42"/>
        <v>55</v>
      </c>
      <c r="N934" t="str">
        <f t="shared" si="43"/>
        <v>Excelsa</v>
      </c>
      <c r="O934" t="str">
        <f t="shared" si="44"/>
        <v>Mediium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_xlfn.XLOOKUP(orders!C935,customers!$A$1:$A$1001,customers!$G$1:$G$1001,,0)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8">
        <f>INDEX(products!$A$1:$G$49,MATCH(orders!$D935,products!$A$1:$A$49,0),MATCH(orders!L$1,products!$A$1:$G$1,0))</f>
        <v>8.9499999999999993</v>
      </c>
      <c r="M935" s="9">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_xlfn.XLOOKUP(orders!C936,customers!$A$1:$A$1001,customers!$G$1:$G$1001,,0)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8">
        <f>INDEX(products!$A$1:$G$49,MATCH(orders!$D936,products!$A$1:$A$49,0),MATCH(orders!L$1,products!$A$1:$G$1,0))</f>
        <v>22.884999999999998</v>
      </c>
      <c r="M936" s="9">
        <f t="shared" si="42"/>
        <v>114.42499999999998</v>
      </c>
      <c r="N936" t="str">
        <f t="shared" si="43"/>
        <v>Robusta</v>
      </c>
      <c r="O936" t="str">
        <f t="shared" si="44"/>
        <v>Mediium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_xlfn.XLOOKUP(orders!C937,customers!$A$1:$A$1001,customers!$G$1:$G$1001,,0)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8">
        <f>INDEX(products!$A$1:$G$49,MATCH(orders!$D937,products!$A$1:$A$49,0),MATCH(orders!L$1,products!$A$1:$G$1,0))</f>
        <v>25.874999999999996</v>
      </c>
      <c r="M937" s="9">
        <f t="shared" si="42"/>
        <v>155.24999999999997</v>
      </c>
      <c r="N937" t="str">
        <f t="shared" si="43"/>
        <v>Arabica</v>
      </c>
      <c r="O937" t="str">
        <f t="shared" si="44"/>
        <v>Mediium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_xlfn.XLOOKUP(orders!C938,customers!$A$1:$A$1001,customers!$G$1:$G$1001,,0)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8">
        <f>INDEX(products!$A$1:$G$49,MATCH(orders!$D938,products!$A$1:$A$49,0),MATCH(orders!L$1,products!$A$1:$G$1,0))</f>
        <v>7.77</v>
      </c>
      <c r="M938" s="9">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_xlfn.XLOOKUP(orders!C939,customers!$A$1:$A$1001,customers!$G$1:$G$1001,,0)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8">
        <f>INDEX(products!$A$1:$G$49,MATCH(orders!$D939,products!$A$1:$A$49,0),MATCH(orders!L$1,products!$A$1:$G$1,0))</f>
        <v>22.884999999999998</v>
      </c>
      <c r="M939" s="9">
        <f t="shared" si="42"/>
        <v>91.539999999999992</v>
      </c>
      <c r="N939" t="str">
        <f t="shared" si="43"/>
        <v>Robusta</v>
      </c>
      <c r="O939" t="str">
        <f t="shared" si="44"/>
        <v>Mediium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_xlfn.XLOOKUP(orders!C940,customers!$A$1:$A$1001,customers!$G$1:$G$1001,,0)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8">
        <f>INDEX(products!$A$1:$G$49,MATCH(orders!$D940,products!$A$1:$A$49,0),MATCH(orders!L$1,products!$A$1:$G$1,0))</f>
        <v>14.85</v>
      </c>
      <c r="M940" s="9">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_xlfn.XLOOKUP(orders!C941,customers!$A$1:$A$1001,customers!$G$1:$G$1001,,0)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8">
        <f>INDEX(products!$A$1:$G$49,MATCH(orders!$D941,products!$A$1:$A$49,0),MATCH(orders!L$1,products!$A$1:$G$1,0))</f>
        <v>4.7549999999999999</v>
      </c>
      <c r="M941" s="9">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_xlfn.XLOOKUP(orders!C942,customers!$A$1:$A$1001,customers!$G$1:$G$1001,,0)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8">
        <f>INDEX(products!$A$1:$G$49,MATCH(orders!$D942,products!$A$1:$A$49,0),MATCH(orders!L$1,products!$A$1:$G$1,0))</f>
        <v>7.169999999999999</v>
      </c>
      <c r="M942" s="9">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_xlfn.XLOOKUP(orders!C943,customers!$A$1:$A$1001,customers!$G$1:$G$1001,,0)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8">
        <f>INDEX(products!$A$1:$G$49,MATCH(orders!$D943,products!$A$1:$A$49,0),MATCH(orders!L$1,products!$A$1:$G$1,0))</f>
        <v>7.77</v>
      </c>
      <c r="M943" s="9">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_xlfn.XLOOKUP(orders!C944,customers!$A$1:$A$1001,customers!$G$1:$G$1001,,0)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8">
        <f>INDEX(products!$A$1:$G$49,MATCH(orders!$D944,products!$A$1:$A$49,0),MATCH(orders!L$1,products!$A$1:$G$1,0))</f>
        <v>11.95</v>
      </c>
      <c r="M944" s="9">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_xlfn.XLOOKUP(orders!C945,customers!$A$1:$A$1001,customers!$G$1:$G$1001,,0)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8">
        <f>INDEX(products!$A$1:$G$49,MATCH(orders!$D945,products!$A$1:$A$49,0),MATCH(orders!L$1,products!$A$1:$G$1,0))</f>
        <v>7.77</v>
      </c>
      <c r="M945" s="9">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_xlfn.XLOOKUP(orders!C946,customers!$A$1:$A$1001,customers!$G$1:$G$1001,,0)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8">
        <f>INDEX(products!$A$1:$G$49,MATCH(orders!$D946,products!$A$1:$A$49,0),MATCH(orders!L$1,products!$A$1:$G$1,0))</f>
        <v>7.169999999999999</v>
      </c>
      <c r="M946" s="9">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_xlfn.XLOOKUP(orders!C947,customers!$A$1:$A$1001,customers!$G$1:$G$1001,,0)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8">
        <f>INDEX(products!$A$1:$G$49,MATCH(orders!$D947,products!$A$1:$A$49,0),MATCH(orders!L$1,products!$A$1:$G$1,0))</f>
        <v>29.784999999999997</v>
      </c>
      <c r="M947" s="9">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_xlfn.XLOOKUP(orders!C948,customers!$A$1:$A$1001,customers!$G$1:$G$1001,,0)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8">
        <f>INDEX(products!$A$1:$G$49,MATCH(orders!$D948,products!$A$1:$A$49,0),MATCH(orders!L$1,products!$A$1:$G$1,0))</f>
        <v>7.77</v>
      </c>
      <c r="M948" s="9">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_xlfn.XLOOKUP(orders!C949,customers!$A$1:$A$1001,customers!$G$1:$G$1001,,0)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8">
        <f>INDEX(products!$A$1:$G$49,MATCH(orders!$D949,products!$A$1:$A$49,0),MATCH(orders!L$1,products!$A$1:$G$1,0))</f>
        <v>11.25</v>
      </c>
      <c r="M949" s="9">
        <f t="shared" si="42"/>
        <v>11.25</v>
      </c>
      <c r="N949" t="str">
        <f t="shared" si="43"/>
        <v>Arabica</v>
      </c>
      <c r="O949" t="str">
        <f t="shared" si="44"/>
        <v>Mediium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_xlfn.XLOOKUP(orders!C950,customers!$A$1:$A$1001,customers!$G$1:$G$1001,,0)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8">
        <f>INDEX(products!$A$1:$G$49,MATCH(orders!$D950,products!$A$1:$A$49,0),MATCH(orders!L$1,products!$A$1:$G$1,0))</f>
        <v>27.945</v>
      </c>
      <c r="M950" s="9">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_xlfn.XLOOKUP(orders!C951,customers!$A$1:$A$1001,customers!$G$1:$G$1001,,0)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8">
        <f>INDEX(products!$A$1:$G$49,MATCH(orders!$D951,products!$A$1:$A$49,0),MATCH(orders!L$1,products!$A$1:$G$1,0))</f>
        <v>27.484999999999996</v>
      </c>
      <c r="M951" s="9">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_xlfn.XLOOKUP(orders!C952,customers!$A$1:$A$1001,customers!$G$1:$G$1001,,0)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8">
        <f>INDEX(products!$A$1:$G$49,MATCH(orders!$D952,products!$A$1:$A$49,0),MATCH(orders!L$1,products!$A$1:$G$1,0))</f>
        <v>3.5849999999999995</v>
      </c>
      <c r="M952" s="9">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_xlfn.XLOOKUP(orders!C953,customers!$A$1:$A$1001,customers!$G$1:$G$1001,,0)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8">
        <f>INDEX(products!$A$1:$G$49,MATCH(orders!$D953,products!$A$1:$A$49,0),MATCH(orders!L$1,products!$A$1:$G$1,0))</f>
        <v>3.5849999999999995</v>
      </c>
      <c r="M953" s="9">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_xlfn.XLOOKUP(orders!C954,customers!$A$1:$A$1001,customers!$G$1:$G$1001,,0)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8">
        <f>INDEX(products!$A$1:$G$49,MATCH(orders!$D954,products!$A$1:$A$49,0),MATCH(orders!L$1,products!$A$1:$G$1,0))</f>
        <v>11.25</v>
      </c>
      <c r="M954" s="9">
        <f t="shared" si="42"/>
        <v>22.5</v>
      </c>
      <c r="N954" t="str">
        <f t="shared" si="43"/>
        <v>Arabica</v>
      </c>
      <c r="O954" t="str">
        <f t="shared" si="44"/>
        <v>Mediium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_xlfn.XLOOKUP(orders!C955,customers!$A$1:$A$1001,customers!$G$1:$G$1001,,0)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8">
        <f>INDEX(products!$A$1:$G$49,MATCH(orders!$D955,products!$A$1:$A$49,0),MATCH(orders!L$1,products!$A$1:$G$1,0))</f>
        <v>3.8849999999999998</v>
      </c>
      <c r="M955" s="9">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_xlfn.XLOOKUP(orders!C956,customers!$A$1:$A$1001,customers!$G$1:$G$1001,,0)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8">
        <f>INDEX(products!$A$1:$G$49,MATCH(orders!$D956,products!$A$1:$A$49,0),MATCH(orders!L$1,products!$A$1:$G$1,0))</f>
        <v>27.945</v>
      </c>
      <c r="M956" s="9">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_xlfn.XLOOKUP(orders!C957,customers!$A$1:$A$1001,customers!$G$1:$G$1001,,0)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8">
        <f>INDEX(products!$A$1:$G$49,MATCH(orders!$D957,products!$A$1:$A$49,0),MATCH(orders!L$1,products!$A$1:$G$1,0))</f>
        <v>34.154999999999994</v>
      </c>
      <c r="M957" s="9">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_xlfn.XLOOKUP(orders!C958,customers!$A$1:$A$1001,customers!$G$1:$G$1001,,0)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8">
        <f>INDEX(products!$A$1:$G$49,MATCH(orders!$D958,products!$A$1:$A$49,0),MATCH(orders!L$1,products!$A$1:$G$1,0))</f>
        <v>27.484999999999996</v>
      </c>
      <c r="M958" s="9">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_xlfn.XLOOKUP(orders!C959,customers!$A$1:$A$1001,customers!$G$1:$G$1001,,0)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8">
        <f>INDEX(products!$A$1:$G$49,MATCH(orders!$D959,products!$A$1:$A$49,0),MATCH(orders!L$1,products!$A$1:$G$1,0))</f>
        <v>14.85</v>
      </c>
      <c r="M959" s="9">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_xlfn.XLOOKUP(orders!C960,customers!$A$1:$A$1001,customers!$G$1:$G$1001,,0)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8">
        <f>INDEX(products!$A$1:$G$49,MATCH(orders!$D960,products!$A$1:$A$49,0),MATCH(orders!L$1,products!$A$1:$G$1,0))</f>
        <v>3.8849999999999998</v>
      </c>
      <c r="M960" s="9">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_xlfn.XLOOKUP(orders!C961,customers!$A$1:$A$1001,customers!$G$1:$G$1001,,0)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8">
        <f>INDEX(products!$A$1:$G$49,MATCH(orders!$D961,products!$A$1:$A$49,0),MATCH(orders!L$1,products!$A$1:$G$1,0))</f>
        <v>4.7549999999999999</v>
      </c>
      <c r="M961" s="9">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_xlfn.XLOOKUP(orders!C962,customers!$A$1:$A$1001,customers!$G$1:$G$1001,,0)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8">
        <f>INDEX(products!$A$1:$G$49,MATCH(orders!$D962,products!$A$1:$A$49,0),MATCH(orders!L$1,products!$A$1:$G$1,0))</f>
        <v>15.85</v>
      </c>
      <c r="M962" s="9">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_xlfn.XLOOKUP(orders!C963,customers!$A$1:$A$1001,customers!$G$1:$G$1001,,0)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8">
        <f>INDEX(products!$A$1:$G$49,MATCH(orders!$D963,products!$A$1:$A$49,0),MATCH(orders!L$1,products!$A$1:$G$1,0))</f>
        <v>22.884999999999998</v>
      </c>
      <c r="M963" s="9">
        <f t="shared" ref="M963:M1001" si="45">L963*E963</f>
        <v>45.769999999999996</v>
      </c>
      <c r="N963" t="str">
        <f t="shared" ref="N963:N1001" si="46">IF(I963="Rob","Robusta",IF(I963="exc","Excelsa",IF(I963="ara","Arabica",IF(I963="Lib","Liberica",""))))</f>
        <v>Arabica</v>
      </c>
      <c r="O963" t="str">
        <f t="shared" ref="O963:O1001" si="47">IF(J963="m","Mediium",IF(J963="l","Light",IF(J963="d","Dark","")))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_xlfn.XLOOKUP(orders!C964,customers!$A$1:$A$1001,customers!$G$1:$G$1001,,0)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8">
        <f>INDEX(products!$A$1:$G$49,MATCH(orders!$D964,products!$A$1:$A$49,0),MATCH(orders!L$1,products!$A$1:$G$1,0))</f>
        <v>8.9499999999999993</v>
      </c>
      <c r="M964" s="9">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_xlfn.XLOOKUP(orders!C965,customers!$A$1:$A$1001,customers!$G$1:$G$1001,,0)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8">
        <f>INDEX(products!$A$1:$G$49,MATCH(orders!$D965,products!$A$1:$A$49,0),MATCH(orders!L$1,products!$A$1:$G$1,0))</f>
        <v>5.97</v>
      </c>
      <c r="M965" s="9">
        <f t="shared" si="45"/>
        <v>23.88</v>
      </c>
      <c r="N965" t="str">
        <f t="shared" si="46"/>
        <v>Robusta</v>
      </c>
      <c r="O965" t="str">
        <f t="shared" si="47"/>
        <v>Mediium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_xlfn.XLOOKUP(orders!C966,customers!$A$1:$A$1001,customers!$G$1:$G$1001,,0)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8">
        <f>INDEX(products!$A$1:$G$49,MATCH(orders!$D966,products!$A$1:$A$49,0),MATCH(orders!L$1,products!$A$1:$G$1,0))</f>
        <v>4.4550000000000001</v>
      </c>
      <c r="M966" s="9">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_xlfn.XLOOKUP(orders!C967,customers!$A$1:$A$1001,customers!$G$1:$G$1001,,0)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8">
        <f>INDEX(products!$A$1:$G$49,MATCH(orders!$D967,products!$A$1:$A$49,0),MATCH(orders!L$1,products!$A$1:$G$1,0))</f>
        <v>9.9499999999999993</v>
      </c>
      <c r="M967" s="9">
        <f t="shared" si="45"/>
        <v>29.849999999999998</v>
      </c>
      <c r="N967" t="str">
        <f t="shared" si="46"/>
        <v>Robusta</v>
      </c>
      <c r="O967" t="str">
        <f t="shared" si="47"/>
        <v>Mediium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_xlfn.XLOOKUP(orders!C968,customers!$A$1:$A$1001,customers!$G$1:$G$1001,,0)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8">
        <f>INDEX(products!$A$1:$G$49,MATCH(orders!$D968,products!$A$1:$A$49,0),MATCH(orders!L$1,products!$A$1:$G$1,0))</f>
        <v>8.91</v>
      </c>
      <c r="M968" s="9">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_xlfn.XLOOKUP(orders!C969,customers!$A$1:$A$1001,customers!$G$1:$G$1001,,0)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8">
        <f>INDEX(products!$A$1:$G$49,MATCH(orders!$D969,products!$A$1:$A$49,0),MATCH(orders!L$1,products!$A$1:$G$1,0))</f>
        <v>2.6849999999999996</v>
      </c>
      <c r="M969" s="9">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_xlfn.XLOOKUP(orders!C970,customers!$A$1:$A$1001,customers!$G$1:$G$1001,,0)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8">
        <f>INDEX(products!$A$1:$G$49,MATCH(orders!$D970,products!$A$1:$A$49,0),MATCH(orders!L$1,products!$A$1:$G$1,0))</f>
        <v>2.9849999999999999</v>
      </c>
      <c r="M970" s="9">
        <f t="shared" si="45"/>
        <v>5.97</v>
      </c>
      <c r="N970" t="str">
        <f t="shared" si="46"/>
        <v>Robusta</v>
      </c>
      <c r="O970" t="str">
        <f t="shared" si="47"/>
        <v>Mediium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_xlfn.XLOOKUP(orders!C971,customers!$A$1:$A$1001,customers!$G$1:$G$1001,,0)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8">
        <f>INDEX(products!$A$1:$G$49,MATCH(orders!$D971,products!$A$1:$A$49,0),MATCH(orders!L$1,products!$A$1:$G$1,0))</f>
        <v>12.95</v>
      </c>
      <c r="M971" s="9">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_xlfn.XLOOKUP(orders!C972,customers!$A$1:$A$1001,customers!$G$1:$G$1001,,0)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8">
        <f>INDEX(products!$A$1:$G$49,MATCH(orders!$D972,products!$A$1:$A$49,0),MATCH(orders!L$1,products!$A$1:$G$1,0))</f>
        <v>8.25</v>
      </c>
      <c r="M972" s="9">
        <f t="shared" si="45"/>
        <v>8.25</v>
      </c>
      <c r="N972" t="str">
        <f t="shared" si="46"/>
        <v>Excelsa</v>
      </c>
      <c r="O972" t="str">
        <f t="shared" si="47"/>
        <v>Mediium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_xlfn.XLOOKUP(orders!C973,customers!$A$1:$A$1001,customers!$G$1:$G$1001,,0)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8">
        <f>INDEX(products!$A$1:$G$49,MATCH(orders!$D973,products!$A$1:$A$49,0),MATCH(orders!L$1,products!$A$1:$G$1,0))</f>
        <v>29.784999999999997</v>
      </c>
      <c r="M973" s="9">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_xlfn.XLOOKUP(orders!C974,customers!$A$1:$A$1001,customers!$G$1:$G$1001,,0)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8">
        <f>INDEX(products!$A$1:$G$49,MATCH(orders!$D974,products!$A$1:$A$49,0),MATCH(orders!L$1,products!$A$1:$G$1,0))</f>
        <v>29.784999999999997</v>
      </c>
      <c r="M974" s="9">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_xlfn.XLOOKUP(orders!C975,customers!$A$1:$A$1001,customers!$G$1:$G$1001,,0)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8">
        <f>INDEX(products!$A$1:$G$49,MATCH(orders!$D975,products!$A$1:$A$49,0),MATCH(orders!L$1,products!$A$1:$G$1,0))</f>
        <v>14.55</v>
      </c>
      <c r="M975" s="9">
        <f t="shared" si="45"/>
        <v>87.300000000000011</v>
      </c>
      <c r="N975" t="str">
        <f t="shared" si="46"/>
        <v>Liberica</v>
      </c>
      <c r="O975" t="str">
        <f t="shared" si="47"/>
        <v>Mediium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_xlfn.XLOOKUP(orders!C976,customers!$A$1:$A$1001,customers!$G$1:$G$1001,,0)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8">
        <f>INDEX(products!$A$1:$G$49,MATCH(orders!$D976,products!$A$1:$A$49,0),MATCH(orders!L$1,products!$A$1:$G$1,0))</f>
        <v>5.3699999999999992</v>
      </c>
      <c r="M976" s="9">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_xlfn.XLOOKUP(orders!C977,customers!$A$1:$A$1001,customers!$G$1:$G$1001,,0)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8">
        <f>INDEX(products!$A$1:$G$49,MATCH(orders!$D977,products!$A$1:$A$49,0),MATCH(orders!L$1,products!$A$1:$G$1,0))</f>
        <v>2.9849999999999999</v>
      </c>
      <c r="M977" s="9">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_xlfn.XLOOKUP(orders!C978,customers!$A$1:$A$1001,customers!$G$1:$G$1001,,0)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8">
        <f>INDEX(products!$A$1:$G$49,MATCH(orders!$D978,products!$A$1:$A$49,0),MATCH(orders!L$1,products!$A$1:$G$1,0))</f>
        <v>27.484999999999996</v>
      </c>
      <c r="M978" s="9">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_xlfn.XLOOKUP(orders!C979,customers!$A$1:$A$1001,customers!$G$1:$G$1001,,0)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8">
        <f>INDEX(products!$A$1:$G$49,MATCH(orders!$D979,products!$A$1:$A$49,0),MATCH(orders!L$1,products!$A$1:$G$1,0))</f>
        <v>11.95</v>
      </c>
      <c r="M979" s="9">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_xlfn.XLOOKUP(orders!C980,customers!$A$1:$A$1001,customers!$G$1:$G$1001,,0)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8">
        <f>INDEX(products!$A$1:$G$49,MATCH(orders!$D980,products!$A$1:$A$49,0),MATCH(orders!L$1,products!$A$1:$G$1,0))</f>
        <v>7.77</v>
      </c>
      <c r="M980" s="9">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_xlfn.XLOOKUP(orders!C981,customers!$A$1:$A$1001,customers!$G$1:$G$1001,,0)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8">
        <f>INDEX(products!$A$1:$G$49,MATCH(orders!$D981,products!$A$1:$A$49,0),MATCH(orders!L$1,products!$A$1:$G$1,0))</f>
        <v>5.3699999999999992</v>
      </c>
      <c r="M981" s="9">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_xlfn.XLOOKUP(orders!C982,customers!$A$1:$A$1001,customers!$G$1:$G$1001,,0)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8">
        <f>INDEX(products!$A$1:$G$49,MATCH(orders!$D982,products!$A$1:$A$49,0),MATCH(orders!L$1,products!$A$1:$G$1,0))</f>
        <v>27.945</v>
      </c>
      <c r="M982" s="9">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_xlfn.XLOOKUP(orders!C983,customers!$A$1:$A$1001,customers!$G$1:$G$1001,,0)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8">
        <f>INDEX(products!$A$1:$G$49,MATCH(orders!$D983,products!$A$1:$A$49,0),MATCH(orders!L$1,products!$A$1:$G$1,0))</f>
        <v>3.645</v>
      </c>
      <c r="M983" s="9">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_xlfn.XLOOKUP(orders!C984,customers!$A$1:$A$1001,customers!$G$1:$G$1001,,0)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8">
        <f>INDEX(products!$A$1:$G$49,MATCH(orders!$D984,products!$A$1:$A$49,0),MATCH(orders!L$1,products!$A$1:$G$1,0))</f>
        <v>11.95</v>
      </c>
      <c r="M984" s="9">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_xlfn.XLOOKUP(orders!C985,customers!$A$1:$A$1001,customers!$G$1:$G$1001,,0)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8">
        <f>INDEX(products!$A$1:$G$49,MATCH(orders!$D985,products!$A$1:$A$49,0),MATCH(orders!L$1,products!$A$1:$G$1,0))</f>
        <v>3.375</v>
      </c>
      <c r="M985" s="9">
        <f t="shared" si="45"/>
        <v>6.75</v>
      </c>
      <c r="N985" t="str">
        <f t="shared" si="46"/>
        <v>Arabica</v>
      </c>
      <c r="O985" t="str">
        <f t="shared" si="47"/>
        <v>Mediium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_xlfn.XLOOKUP(orders!C986,customers!$A$1:$A$1001,customers!$G$1:$G$1001,,0)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8">
        <f>INDEX(products!$A$1:$G$49,MATCH(orders!$D986,products!$A$1:$A$49,0),MATCH(orders!L$1,products!$A$1:$G$1,0))</f>
        <v>31.624999999999996</v>
      </c>
      <c r="M986" s="9">
        <f t="shared" si="45"/>
        <v>31.624999999999996</v>
      </c>
      <c r="N986" t="str">
        <f t="shared" si="46"/>
        <v>Excelsa</v>
      </c>
      <c r="O986" t="str">
        <f t="shared" si="47"/>
        <v>Mediium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_xlfn.XLOOKUP(orders!C987,customers!$A$1:$A$1001,customers!$G$1:$G$1001,,0)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8">
        <f>INDEX(products!$A$1:$G$49,MATCH(orders!$D987,products!$A$1:$A$49,0),MATCH(orders!L$1,products!$A$1:$G$1,0))</f>
        <v>11.95</v>
      </c>
      <c r="M987" s="9">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_xlfn.XLOOKUP(orders!C988,customers!$A$1:$A$1001,customers!$G$1:$G$1001,,0)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8">
        <f>INDEX(products!$A$1:$G$49,MATCH(orders!$D988,products!$A$1:$A$49,0),MATCH(orders!L$1,products!$A$1:$G$1,0))</f>
        <v>33.464999999999996</v>
      </c>
      <c r="M988" s="9">
        <f t="shared" si="45"/>
        <v>33.464999999999996</v>
      </c>
      <c r="N988" t="str">
        <f t="shared" si="46"/>
        <v>Liberica</v>
      </c>
      <c r="O988" t="str">
        <f t="shared" si="47"/>
        <v>Mediium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_xlfn.XLOOKUP(orders!C989,customers!$A$1:$A$1001,customers!$G$1:$G$1001,,0)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8">
        <f>INDEX(products!$A$1:$G$49,MATCH(orders!$D989,products!$A$1:$A$49,0),MATCH(orders!L$1,products!$A$1:$G$1,0))</f>
        <v>5.97</v>
      </c>
      <c r="M989" s="9">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_xlfn.XLOOKUP(orders!C990,customers!$A$1:$A$1001,customers!$G$1:$G$1001,,0)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8">
        <f>INDEX(products!$A$1:$G$49,MATCH(orders!$D990,products!$A$1:$A$49,0),MATCH(orders!L$1,products!$A$1:$G$1,0))</f>
        <v>9.9499999999999993</v>
      </c>
      <c r="M990" s="9">
        <f t="shared" si="45"/>
        <v>29.849999999999998</v>
      </c>
      <c r="N990" t="str">
        <f t="shared" si="46"/>
        <v>Robusta</v>
      </c>
      <c r="O990" t="str">
        <f t="shared" si="47"/>
        <v>Mediium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_xlfn.XLOOKUP(orders!C991,customers!$A$1:$A$1001,customers!$G$1:$G$1001,,0)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8">
        <f>INDEX(products!$A$1:$G$49,MATCH(orders!$D991,products!$A$1:$A$49,0),MATCH(orders!L$1,products!$A$1:$G$1,0))</f>
        <v>25.874999999999996</v>
      </c>
      <c r="M991" s="9">
        <f t="shared" si="45"/>
        <v>155.24999999999997</v>
      </c>
      <c r="N991" t="str">
        <f t="shared" si="46"/>
        <v>Arabica</v>
      </c>
      <c r="O991" t="str">
        <f t="shared" si="47"/>
        <v>Mediium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_xlfn.XLOOKUP(orders!C992,customers!$A$1:$A$1001,customers!$G$1:$G$1001,,0)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8">
        <f>INDEX(products!$A$1:$G$49,MATCH(orders!$D992,products!$A$1:$A$49,0),MATCH(orders!L$1,products!$A$1:$G$1,0))</f>
        <v>3.645</v>
      </c>
      <c r="M992" s="9">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_xlfn.XLOOKUP(orders!C993,customers!$A$1:$A$1001,customers!$G$1:$G$1001,,0)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8">
        <f>INDEX(products!$A$1:$G$49,MATCH(orders!$D993,products!$A$1:$A$49,0),MATCH(orders!L$1,products!$A$1:$G$1,0))</f>
        <v>7.77</v>
      </c>
      <c r="M993" s="9">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_xlfn.XLOOKUP(orders!C994,customers!$A$1:$A$1001,customers!$G$1:$G$1001,,0)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8">
        <f>INDEX(products!$A$1:$G$49,MATCH(orders!$D994,products!$A$1:$A$49,0),MATCH(orders!L$1,products!$A$1:$G$1,0))</f>
        <v>36.454999999999998</v>
      </c>
      <c r="M994" s="9">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_xlfn.XLOOKUP(orders!C995,customers!$A$1:$A$1001,customers!$G$1:$G$1001,,0)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8">
        <f>INDEX(products!$A$1:$G$49,MATCH(orders!$D995,products!$A$1:$A$49,0),MATCH(orders!L$1,products!$A$1:$G$1,0))</f>
        <v>12.95</v>
      </c>
      <c r="M995" s="9">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_xlfn.XLOOKUP(orders!C996,customers!$A$1:$A$1001,customers!$G$1:$G$1001,,0)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8">
        <f>INDEX(products!$A$1:$G$49,MATCH(orders!$D996,products!$A$1:$A$49,0),MATCH(orders!L$1,products!$A$1:$G$1,0))</f>
        <v>2.9849999999999999</v>
      </c>
      <c r="M996" s="9">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_xlfn.XLOOKUP(orders!C997,customers!$A$1:$A$1001,customers!$G$1:$G$1001,,0)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8">
        <f>INDEX(products!$A$1:$G$49,MATCH(orders!$D997,products!$A$1:$A$49,0),MATCH(orders!L$1,products!$A$1:$G$1,0))</f>
        <v>27.484999999999996</v>
      </c>
      <c r="M997" s="9">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_xlfn.XLOOKUP(orders!C998,customers!$A$1:$A$1001,customers!$G$1:$G$1001,,0)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8">
        <f>INDEX(products!$A$1:$G$49,MATCH(orders!$D998,products!$A$1:$A$49,0),MATCH(orders!L$1,products!$A$1:$G$1,0))</f>
        <v>5.97</v>
      </c>
      <c r="M998" s="9">
        <f t="shared" si="45"/>
        <v>29.849999999999998</v>
      </c>
      <c r="N998" t="str">
        <f t="shared" si="46"/>
        <v>Robusta</v>
      </c>
      <c r="O998" t="str">
        <f t="shared" si="47"/>
        <v>Mediium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_xlfn.XLOOKUP(orders!C999,customers!$A$1:$A$1001,customers!$G$1:$G$1001,,0)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8">
        <f>INDEX(products!$A$1:$G$49,MATCH(orders!$D999,products!$A$1:$A$49,0),MATCH(orders!L$1,products!$A$1:$G$1,0))</f>
        <v>6.75</v>
      </c>
      <c r="M999" s="9">
        <f t="shared" si="45"/>
        <v>27</v>
      </c>
      <c r="N999" t="str">
        <f t="shared" si="46"/>
        <v>Arabica</v>
      </c>
      <c r="O999" t="str">
        <f t="shared" si="47"/>
        <v>Mediium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_xlfn.XLOOKUP(orders!C1000,customers!$A$1:$A$1001,customers!$G$1:$G$1001,,0)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8">
        <f>INDEX(products!$A$1:$G$49,MATCH(orders!$D1000,products!$A$1:$A$49,0),MATCH(orders!L$1,products!$A$1:$G$1,0))</f>
        <v>9.9499999999999993</v>
      </c>
      <c r="M1000" s="9">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_xlfn.XLOOKUP(orders!C1001,customers!$A$1:$A$1001,customers!$G$1:$G$1001,,0)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8">
        <f>INDEX(products!$A$1:$G$49,MATCH(orders!$D1001,products!$A$1:$A$49,0),MATCH(orders!L$1,products!$A$1:$G$1,0))</f>
        <v>4.125</v>
      </c>
      <c r="M1001" s="9">
        <f t="shared" si="45"/>
        <v>12.375</v>
      </c>
      <c r="N1001" t="str">
        <f t="shared" si="46"/>
        <v>Excelsa</v>
      </c>
      <c r="O1001" t="str">
        <f t="shared" si="47"/>
        <v>Mediium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F1" sqref="F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 sqref="E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40209-8D12-41ED-9427-76194D20A19C}">
  <dimension ref="I1:I28"/>
  <sheetViews>
    <sheetView showGridLines="0" tabSelected="1" workbookViewId="0">
      <selection activeCell="AC24" sqref="AC24"/>
    </sheetView>
  </sheetViews>
  <sheetFormatPr defaultRowHeight="15" x14ac:dyDescent="0.25"/>
  <cols>
    <col min="1" max="1" width="1.7109375" customWidth="1"/>
    <col min="16" max="16" width="0.85546875" customWidth="1"/>
  </cols>
  <sheetData>
    <row r="1" spans="9:9" ht="5.0999999999999996" customHeight="1" x14ac:dyDescent="0.25"/>
    <row r="6" spans="9:9" ht="5.0999999999999996" customHeight="1" x14ac:dyDescent="0.25"/>
    <row r="11" spans="9:9" ht="5.0999999999999996" customHeight="1" x14ac:dyDescent="0.25"/>
    <row r="12" spans="9:9" x14ac:dyDescent="0.25">
      <c r="I12" s="7"/>
    </row>
    <row r="17" ht="5.0999999999999996" customHeight="1" x14ac:dyDescent="0.25"/>
    <row r="28"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dc:creator>
  <cp:keywords/>
  <dc:description/>
  <cp:lastModifiedBy>RAHUL</cp:lastModifiedBy>
  <cp:revision/>
  <dcterms:created xsi:type="dcterms:W3CDTF">2022-11-26T09:51:45Z</dcterms:created>
  <dcterms:modified xsi:type="dcterms:W3CDTF">2026-02-12T14:24:26Z</dcterms:modified>
  <cp:category/>
  <cp:contentStatus/>
</cp:coreProperties>
</file>